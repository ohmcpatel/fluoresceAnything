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.leonetti/Documents/Manuscript/OpenCell 2021/final_data_organization_081921/final_082821/Suppl_Tables/"/>
    </mc:Choice>
  </mc:AlternateContent>
  <xr:revisionPtr revIDLastSave="0" documentId="13_ncr:1_{F15A0D17-53FC-7644-8877-D1E56ED4E257}" xr6:coauthVersionLast="47" xr6:coauthVersionMax="47" xr10:uidLastSave="{00000000-0000-0000-0000-000000000000}"/>
  <bookViews>
    <workbookView xWindow="11020" yWindow="5140" windowWidth="33880" windowHeight="17440" xr2:uid="{00000000-000D-0000-FFFF-FFFF00000000}"/>
  </bookViews>
  <sheets>
    <sheet name="readme" sheetId="2" r:id="rId1"/>
    <sheet name="data" sheetId="1" r:id="rId2"/>
  </sheets>
  <definedNames>
    <definedName name="_xlnm._FilterDatabase" localSheetId="1" hidden="1">data!$A$1:$N$1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2" i="1"/>
  <c r="M42" i="1"/>
  <c r="N42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1" i="1"/>
  <c r="M61" i="1"/>
  <c r="N61" i="1"/>
  <c r="L62" i="1"/>
  <c r="M62" i="1"/>
  <c r="N62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41" i="1"/>
  <c r="M41" i="1"/>
  <c r="N41" i="1"/>
  <c r="L43" i="1"/>
  <c r="M43" i="1"/>
  <c r="N43" i="1"/>
  <c r="L10" i="1"/>
  <c r="M10" i="1"/>
  <c r="N10" i="1"/>
  <c r="L63" i="1"/>
  <c r="M63" i="1"/>
  <c r="N63" i="1"/>
  <c r="L73" i="1"/>
  <c r="M73" i="1"/>
  <c r="N73" i="1"/>
  <c r="L106" i="1"/>
  <c r="M106" i="1"/>
  <c r="N106" i="1"/>
  <c r="L107" i="1"/>
  <c r="M107" i="1"/>
  <c r="N107" i="1"/>
  <c r="L108" i="1"/>
  <c r="M108" i="1"/>
  <c r="N108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9" i="1"/>
  <c r="M109" i="1"/>
  <c r="N109" i="1"/>
  <c r="L60" i="1"/>
  <c r="M60" i="1"/>
  <c r="N60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</calcChain>
</file>

<file path=xl/sharedStrings.xml><?xml version="1.0" encoding="utf-8"?>
<sst xmlns="http://schemas.openxmlformats.org/spreadsheetml/2006/main" count="1439" uniqueCount="986">
  <si>
    <t>main localization OpenCell</t>
  </si>
  <si>
    <t>additional localization OpenCell</t>
  </si>
  <si>
    <t>main localization HPA</t>
  </si>
  <si>
    <t>additional localization HPA</t>
  </si>
  <si>
    <t>Literature and functional curation</t>
  </si>
  <si>
    <t>Resolution</t>
  </si>
  <si>
    <t>CHPT1</t>
  </si>
  <si>
    <t>ENSG00000111666</t>
  </si>
  <si>
    <t>nucleoplasm,cytoplasm</t>
  </si>
  <si>
    <t>Vesicles</t>
  </si>
  <si>
    <t>Transmembrane protein, Golgi localization PMID: 12221122; ER localization reported in PMID: 34079125</t>
  </si>
  <si>
    <t>Direct evidence HPA</t>
  </si>
  <si>
    <t>MSN</t>
  </si>
  <si>
    <t>ENSG00000147065</t>
  </si>
  <si>
    <t>cytoplasm</t>
  </si>
  <si>
    <t>nucleoplasm</t>
  </si>
  <si>
    <t>Plasma membrane</t>
  </si>
  <si>
    <t>Plasma mebrane/actin tether PMID: 22433855; Plasma membrane localization reported in: PMID: 27278775, PMID: 34079125</t>
  </si>
  <si>
    <t>ACTR2</t>
  </si>
  <si>
    <t>ENSG00000138071</t>
  </si>
  <si>
    <t>membrane,vesicles</t>
  </si>
  <si>
    <t>cytoplasmic</t>
  </si>
  <si>
    <t>Cytosol</t>
  </si>
  <si>
    <t>Component of actin nucleator Arp2/3 complex, active in particular at the plasma membrane PMID: 16990851; Membrane localization reported in PMID: 34079125</t>
  </si>
  <si>
    <t>Direct evidence OpenCell</t>
  </si>
  <si>
    <t>ANKRD27</t>
  </si>
  <si>
    <t>ENSG00000105186</t>
  </si>
  <si>
    <t>vesicles</t>
  </si>
  <si>
    <t>Regulator of endosome dynamics, endosome localization PMID: 16525121; PMID: 24856514 Endosome localization reported in PMID: 27278775, PMID: 34079125</t>
  </si>
  <si>
    <t>APPL1</t>
  </si>
  <si>
    <t>ENSG00000157500</t>
  </si>
  <si>
    <t>vesicles,cytoplasmic</t>
  </si>
  <si>
    <t>Centrosome;Mitotic spindle</t>
  </si>
  <si>
    <t xml:space="preserve">Endosomal adapter protein PMID: 15016378; PMID: 21645192; Endosome localization reported in PMID: 34079125 </t>
  </si>
  <si>
    <t>ARF1</t>
  </si>
  <si>
    <t>ENSG00000143761</t>
  </si>
  <si>
    <t>golgi</t>
  </si>
  <si>
    <t xml:space="preserve">Key modulator of vesicular transport to Golgi apparatus: PMID: 1680566; Golgi localization reported in PMID: 27278775 </t>
  </si>
  <si>
    <t>ARPC2</t>
  </si>
  <si>
    <t>ENSG00000163466</t>
  </si>
  <si>
    <t>vesicles,membrane,cytoplasm</t>
  </si>
  <si>
    <t>Nucleoplasm</t>
  </si>
  <si>
    <t>Component of actin nucleator Arp2/3 complex, active in particular at the plasma membrane PMID: 16990851; Consistent with localization of other Arp2/3 subunits (see ARPC3)</t>
  </si>
  <si>
    <t>ARPC3</t>
  </si>
  <si>
    <t>ENSG00000111229</t>
  </si>
  <si>
    <t>vesicles,membrane,cytoplasmic</t>
  </si>
  <si>
    <t>Component of actin nucleator Arp2/3 complex, active in particular at the plasma membrane PMID: 16990851; Consistent with localization of other Arp2/3 subunits (see ARPC2)</t>
  </si>
  <si>
    <t>ATP6V1G1</t>
  </si>
  <si>
    <t>ENSG00000136888</t>
  </si>
  <si>
    <t>vesicles,cytoplasm</t>
  </si>
  <si>
    <t>Nucleoli</t>
  </si>
  <si>
    <t>Subunit of the lysosomal v-ATPase proton pump PMID: 32001091; Endosome localization reported in PMID: 27278775</t>
  </si>
  <si>
    <t>BAZ1A</t>
  </si>
  <si>
    <t>ENSG00000198604</t>
  </si>
  <si>
    <t>chromatin</t>
  </si>
  <si>
    <t>Endoplasmic reticulum</t>
  </si>
  <si>
    <t>Component of ACF1, a chromatin remodeling complex PMID: 26390241; Nuclear localization reported in PMID: 27278775, PMID: 34079125</t>
  </si>
  <si>
    <t>CCDC22</t>
  </si>
  <si>
    <t>ENSG00000101997</t>
  </si>
  <si>
    <t>Cytosol;Nucleoplasm</t>
  </si>
  <si>
    <t>Subunit of the COMMD complex, which localizes to endosomes PMID: 30067224. Function in endosomal recycling PMID: 28892079; Consistent with localization pattern of other COMMD subunits</t>
  </si>
  <si>
    <t>CDS1</t>
  </si>
  <si>
    <t>ENSG00000163624</t>
  </si>
  <si>
    <t>er</t>
  </si>
  <si>
    <t>Nuclear membrane</t>
  </si>
  <si>
    <t>Transmembrane protein, known ER localization: PMID: 12646171; ER localization reported in PMID: 27278775, PMID: 34079125</t>
  </si>
  <si>
    <t>CENPM</t>
  </si>
  <si>
    <t>ENSG00000100162</t>
  </si>
  <si>
    <t>nuclear_punctae</t>
  </si>
  <si>
    <t>Core component of the chromosomal centromere PMID: 16716197</t>
  </si>
  <si>
    <t>CEP135</t>
  </si>
  <si>
    <t>ENSG00000174799</t>
  </si>
  <si>
    <t>centrosome</t>
  </si>
  <si>
    <t>Focal adhesion sites</t>
  </si>
  <si>
    <t>Core component of the centrosome: PMID: 14654843 ; Centrosome localization reported in PMID: 34079125</t>
  </si>
  <si>
    <t>CEP85</t>
  </si>
  <si>
    <t>ENSG00000130695</t>
  </si>
  <si>
    <t>Golgi apparatus;Nucleoli</t>
  </si>
  <si>
    <t>Centrosome;Cytosol</t>
  </si>
  <si>
    <t>Core component of the centrosome PMID: 26220856, PMID: 26220856 ; Centrosome localization reported in PMID: 34079125</t>
  </si>
  <si>
    <t>CERS5</t>
  </si>
  <si>
    <t>ENSG00000139624</t>
  </si>
  <si>
    <t>Nucleoli;Nucleoplasm</t>
  </si>
  <si>
    <t>Transmembrane protein, ER localization: PMID: 12912983; ER localization reported in PMID: 34079125, PMID: 27278775</t>
  </si>
  <si>
    <t>CERS6</t>
  </si>
  <si>
    <t>ENSG00000172292</t>
  </si>
  <si>
    <t>Transmembrane protein, ER localization: PMID: 15823095; ER localization reported in PMID: 34079125</t>
  </si>
  <si>
    <t>CKAP4</t>
  </si>
  <si>
    <t>ENSG00000136026</t>
  </si>
  <si>
    <t>Cytosol;Nuclear speckles</t>
  </si>
  <si>
    <t>Cytoplasmic bodies</t>
  </si>
  <si>
    <t>CLCN7</t>
  </si>
  <si>
    <t>ENSG00000103249</t>
  </si>
  <si>
    <t>Lysosomal transmembrane protein: PMID: 18449189; Lysosomal localization reported in PMID: 27278775, PMID: 34079125</t>
  </si>
  <si>
    <t>CLPTM1</t>
  </si>
  <si>
    <t>ENSG00000104853</t>
  </si>
  <si>
    <t>er,vesicles</t>
  </si>
  <si>
    <t>Centriolar satellite;Nuclear membrane</t>
  </si>
  <si>
    <t>Transmembrane protein; ER localization reported in PMID: 27278775, PMID: 34079125</t>
  </si>
  <si>
    <t>COMMD1</t>
  </si>
  <si>
    <t>ENSG00000173163</t>
  </si>
  <si>
    <t>Subunit of the COMMD complex, which localizes to endosomes PMID: 30067224. Endo/lysosomal localization: PMID: 18940794; Consistent with localization pattern of other COMMD subunits (see for example COMMD2, COMMD4)</t>
  </si>
  <si>
    <t>COMMD2</t>
  </si>
  <si>
    <t>ENSG00000114744</t>
  </si>
  <si>
    <t>Nuclear bodies;Nucleoplasm</t>
  </si>
  <si>
    <t>Subunit of the COMMD complex, which localizes to endosomes PMID: 30067224; Consistent with localization pattern of other COMMD subunits (see for example COMMD1, COMMD4)</t>
  </si>
  <si>
    <t>COPB2</t>
  </si>
  <si>
    <t>ENSG00000184432</t>
  </si>
  <si>
    <t>Subunit of COP-I, a major Golgi transport complex PMID: 34101128; Golgi localization reported in PMID: 34079125</t>
  </si>
  <si>
    <t>CSNK1D</t>
  </si>
  <si>
    <t>ENSG00000141551</t>
  </si>
  <si>
    <t>Nucleoli fibrillar center</t>
  </si>
  <si>
    <t>Component of the centrosome PMID: 14654843; PMID: 21422228</t>
  </si>
  <si>
    <t>DAD1</t>
  </si>
  <si>
    <t>ENSG00000129562</t>
  </si>
  <si>
    <t>Subunit of the EMC, an ER membrane complex PMID: 32439656; ER localization reported in PMID: 34079125</t>
  </si>
  <si>
    <t>DAPK3</t>
  </si>
  <si>
    <t>ENSG00000167657</t>
  </si>
  <si>
    <t>membrane,cytoskeleton,centrosome</t>
  </si>
  <si>
    <t>Known role in cytoskeletal regulation, notably at plasma membrane: PMID: 10356987, PMID: 23454120</t>
  </si>
  <si>
    <t>DEGS1</t>
  </si>
  <si>
    <t>ENSG00000143753</t>
  </si>
  <si>
    <t>vesicles,er</t>
  </si>
  <si>
    <t>Mitochondria</t>
  </si>
  <si>
    <t>Transmembrane protein, ER localization PMID: 9188692; ER localization reported in PMID: 27278775</t>
  </si>
  <si>
    <t>DHX37</t>
  </si>
  <si>
    <t>ENSG00000150990</t>
  </si>
  <si>
    <t>nucleolus_gc</t>
  </si>
  <si>
    <t>Function in ribosomal RNA synthesis, a nucleolar process PMID: 30582406; Nucleolus localization reported in PMID: 34079125</t>
  </si>
  <si>
    <t>EEF1G</t>
  </si>
  <si>
    <t>ENSG00000254772</t>
  </si>
  <si>
    <t>Subunit of the cytoplasmic translation elongation factor complex, not present in mitocarta</t>
  </si>
  <si>
    <t>EMC3</t>
  </si>
  <si>
    <t>ENSG00000125037</t>
  </si>
  <si>
    <t>Microtubules</t>
  </si>
  <si>
    <t>Subunit of the EMC, an ER membrane complex PMID: 32439656. Transmembrane protein of the ER: PMID: 30959108; ER localization reported in PMID: 27278775</t>
  </si>
  <si>
    <t>EMC4</t>
  </si>
  <si>
    <t>ENSG00000128463</t>
  </si>
  <si>
    <t>Subunit of the EMC, an ER membrane complex PMID: 32439656</t>
  </si>
  <si>
    <t>EMC7</t>
  </si>
  <si>
    <t>ENSG00000134153</t>
  </si>
  <si>
    <t>EMC8</t>
  </si>
  <si>
    <t>ENSG00000131148</t>
  </si>
  <si>
    <t>EMC9</t>
  </si>
  <si>
    <t>ENSG00000100908</t>
  </si>
  <si>
    <t>Golgi apparatus</t>
  </si>
  <si>
    <t>FAM207A</t>
  </si>
  <si>
    <t>ENSG00000160256</t>
  </si>
  <si>
    <t>nucleolus_gc,nucleoplasm</t>
  </si>
  <si>
    <t>Golgi apparatus;Vesicles</t>
  </si>
  <si>
    <t>Role in ribosome biogenesis PMID: 21097556; Nucleolus localization preported in PMID: 34079125</t>
  </si>
  <si>
    <t>FARP1</t>
  </si>
  <si>
    <t>ENSG00000152767</t>
  </si>
  <si>
    <t>membrane</t>
  </si>
  <si>
    <t>GEF for the membrane GTPase RAC1 PMID: 23209303; Plasma membrane localization reported in PMID: 27278775, PMID: 34079125</t>
  </si>
  <si>
    <t>GPAT3</t>
  </si>
  <si>
    <t>ENSG00000138678</t>
  </si>
  <si>
    <t>Cytosol;Plasma membrane</t>
  </si>
  <si>
    <t>Membrane protein of the ER PMID: 20537980 ER, PMID: 19318427; ER localization reported in PMID: 34079125</t>
  </si>
  <si>
    <t>HSPB11</t>
  </si>
  <si>
    <t>ENSG00000081870</t>
  </si>
  <si>
    <t>Centrosome/cilium localization supported: PMID: 22595669; link to ciliary transport of SHH PMID: 22595669</t>
  </si>
  <si>
    <t>KRT18</t>
  </si>
  <si>
    <t>ENSG00000111057</t>
  </si>
  <si>
    <t>cytoskeleton</t>
  </si>
  <si>
    <t>Keratin: known cytoskeletal element; cytoskeleton localization reported in PMID: 34079125</t>
  </si>
  <si>
    <t>LMNA</t>
  </si>
  <si>
    <t>ENSG00000160789</t>
  </si>
  <si>
    <t>nuclear_membrane</t>
  </si>
  <si>
    <t>Nuclear speckles;Nucleoplasm</t>
  </si>
  <si>
    <t>Component of the nuclear membrane lamina PMID: 12921235</t>
  </si>
  <si>
    <t>MBOAT7</t>
  </si>
  <si>
    <t>ENSG00000125505</t>
  </si>
  <si>
    <t>ER localization reported in PMID: 27278775, PMID: 34079125</t>
  </si>
  <si>
    <t>MFSD12</t>
  </si>
  <si>
    <t>ENSG00000161091</t>
  </si>
  <si>
    <t>Lysosomal transporter: PMID: 33208952; Lysosome localization reported in PMID: 27278775, PMID: 34079125</t>
  </si>
  <si>
    <t>MTMR1</t>
  </si>
  <si>
    <t>ENSG00000063601</t>
  </si>
  <si>
    <t>nucleoplasm,cytoplasm,cell_contact,membrane</t>
  </si>
  <si>
    <t>Centrosome</t>
  </si>
  <si>
    <t>MVB12A</t>
  </si>
  <si>
    <t>ENSG00000141971</t>
  </si>
  <si>
    <t>Endosomal ESCRT protein PMID: 2175735 PMID: 24284069</t>
  </si>
  <si>
    <t>MYO6</t>
  </si>
  <si>
    <t>ENSG00000196586</t>
  </si>
  <si>
    <t>Peripheral membrane protein PMID: 16507995; Membrane localization reported in PMID: 34079125</t>
  </si>
  <si>
    <t>NCKAP5L</t>
  </si>
  <si>
    <t>ENSG00000167566</t>
  </si>
  <si>
    <t>cytoplasm,centrosome,nucleoplasm</t>
  </si>
  <si>
    <t>Centrosome: PMID: 26482847, PMID: 2648557 ; Centrosome localization reported in PMID: 34079125</t>
  </si>
  <si>
    <t>NCLN</t>
  </si>
  <si>
    <t>ENSG00000125912</t>
  </si>
  <si>
    <t>Lipid droplets</t>
  </si>
  <si>
    <t>Transmembrane protein, ER localization: PMID: 20538592; ER localization reported in PMID: 34079125, PMID: 27278775</t>
  </si>
  <si>
    <t>NHP2</t>
  </si>
  <si>
    <t>ENSG00000145912</t>
  </si>
  <si>
    <t>nucleolus_fc_dfc</t>
  </si>
  <si>
    <t>Part of the nucleolar H/ACA complex; PMID: 15044956</t>
  </si>
  <si>
    <t>NOP10</t>
  </si>
  <si>
    <t>ENSG00000182117</t>
  </si>
  <si>
    <t>Nuclear bodies</t>
  </si>
  <si>
    <t>Part of the nucleolar H/ACA complex PMID: 15044956</t>
  </si>
  <si>
    <t>NUFIP2</t>
  </si>
  <si>
    <t>ENSG00000108256</t>
  </si>
  <si>
    <t>Cytosol;Nuclear bodies</t>
  </si>
  <si>
    <t>Localization in cytoplasmic RNP granules localization reported in PMID: 34079125, consistent with OpenCell: NUFIP2 images cluster together with known RNP granule components</t>
  </si>
  <si>
    <t>NUP107</t>
  </si>
  <si>
    <t>ENSG00000111581</t>
  </si>
  <si>
    <t>Centrosome;Nuclear membrane</t>
  </si>
  <si>
    <t>Component of the nuclear pore complex PMID: 27999437</t>
  </si>
  <si>
    <t>NUP214</t>
  </si>
  <si>
    <t>ENSG00000126883</t>
  </si>
  <si>
    <t>nuclear_membrane,big_aggregates</t>
  </si>
  <si>
    <t>Focal adhesion sites;Vesicles</t>
  </si>
  <si>
    <t>NUP98</t>
  </si>
  <si>
    <t>ENSG00000110713</t>
  </si>
  <si>
    <t>ORAI1</t>
  </si>
  <si>
    <t>ENSG00000276045</t>
  </si>
  <si>
    <t>membrane,er</t>
  </si>
  <si>
    <t>Transmembrane protein, plasma membrane Ca-activated Ca-channel PMID: 16645049; Membrane localization reported in PMID: 27278775</t>
  </si>
  <si>
    <t>PGRMC2</t>
  </si>
  <si>
    <t>ENSG00000164040</t>
  </si>
  <si>
    <t>Cytosol;Nuclear bodies;Plasma membrane</t>
  </si>
  <si>
    <t>PI4KA</t>
  </si>
  <si>
    <t>ENSG00000241973</t>
  </si>
  <si>
    <t>membrane,cytoplasmic</t>
  </si>
  <si>
    <t>Plasma membrane localization: PMID: 23229899; Membrane localization reported in PMID: 34079125</t>
  </si>
  <si>
    <t>PIK3R2</t>
  </si>
  <si>
    <t>ENSG00000105647</t>
  </si>
  <si>
    <t>membrane,cytoplasm,cell_contact,vesicles</t>
  </si>
  <si>
    <t xml:space="preserve">Lipid PI3 kinase subunit, active at plasma membrane PMID: 21873248; Membrane localization reported in PMID: 34079125 </t>
  </si>
  <si>
    <t>POLR1C</t>
  </si>
  <si>
    <t>ENSG00000171453</t>
  </si>
  <si>
    <t>Part of RNA polymerases I and III, the RNA polymerases for small RNAs in the nucleolus and nuclear speckles PMID: 26151409 PMID: 16971453</t>
  </si>
  <si>
    <t>PRKAA1</t>
  </si>
  <si>
    <t>ENSG00000132356</t>
  </si>
  <si>
    <t>cytoplasm,vesicles</t>
  </si>
  <si>
    <t>Nuclear speckles</t>
  </si>
  <si>
    <t>Transmembrane protein, ER localization PMID: 21873652; ER localization reported in PMID: 27278775</t>
  </si>
  <si>
    <t>PSMD6</t>
  </si>
  <si>
    <t>ENSG00000163636</t>
  </si>
  <si>
    <t>Core component of the proteasome. Localization is consistent with other proteasome subunits in OpenCell (see for example PSMB1, PSMC5, PSMD12)</t>
  </si>
  <si>
    <t>RAB9A</t>
  </si>
  <si>
    <t>ENSG00000123595</t>
  </si>
  <si>
    <t>Late endosome PMID: 16176980 ER localization reported in PMID: 27278775, endo/lysosome localization reported in PMID: 34079125</t>
  </si>
  <si>
    <t>REEP2</t>
  </si>
  <si>
    <t>ENSG00000132563</t>
  </si>
  <si>
    <t>er,nuclear_punctae</t>
  </si>
  <si>
    <t>Regulator of ER morphology PMID: 24388663; ER localization reported in PMID: 34079125</t>
  </si>
  <si>
    <t>REEP4</t>
  </si>
  <si>
    <t>ENSG00000168476</t>
  </si>
  <si>
    <t>RPL11</t>
  </si>
  <si>
    <t>ENSG00000142676</t>
  </si>
  <si>
    <t>nucleolus_gc,cytoplasm</t>
  </si>
  <si>
    <t>S100A10</t>
  </si>
  <si>
    <t>ENSG00000197747</t>
  </si>
  <si>
    <t>cytoplasm,membrane</t>
  </si>
  <si>
    <t>Membrane localization: PMID: 28761153; Membrane localization reported in PMID: 27278775; not present in mitocarta</t>
  </si>
  <si>
    <t>SLC11A2</t>
  </si>
  <si>
    <t>ENSG00000110911</t>
  </si>
  <si>
    <t>Endo/lysosomal transporter: PMID: 12475959; Endosome localization reported in PMID: 27278775</t>
  </si>
  <si>
    <t>SLC1A3</t>
  </si>
  <si>
    <t>ENSG00000079215</t>
  </si>
  <si>
    <t>vesicles,membrane</t>
  </si>
  <si>
    <t>Plasma membrane transporter PMID: 28032905; Membrane localization reported in PMID: 27278775, PMID: 34079125</t>
  </si>
  <si>
    <t>SLC26A6</t>
  </si>
  <si>
    <t>ENSG00000225697</t>
  </si>
  <si>
    <t>Transmembrane protein; Membrane localization reported in PMID: 27278775, PMID: 34079125</t>
  </si>
  <si>
    <t>SLC33A1</t>
  </si>
  <si>
    <t>ENSG00000169359</t>
  </si>
  <si>
    <t>Transmembrane protein; ER in MPID: 27278775, PMID: 34079125</t>
  </si>
  <si>
    <t>SLC35F2</t>
  </si>
  <si>
    <t>ENSG00000110660</t>
  </si>
  <si>
    <t>vesicles,golgi</t>
  </si>
  <si>
    <t>Endosome, localization reported in PMID: 27278775, PMID: 34079125</t>
  </si>
  <si>
    <t>SNRPD2</t>
  </si>
  <si>
    <t>ENSG00000125743</t>
  </si>
  <si>
    <t>Component of the nuclear splicesome PMID: 28502770; Nuclear localization reported in PMID: 34079125</t>
  </si>
  <si>
    <t>SNX11</t>
  </si>
  <si>
    <t>ENSG00000002919</t>
  </si>
  <si>
    <t>Endosomal localization PMID: 23615901; Lysosome localization reported in PMID: 27278775</t>
  </si>
  <si>
    <t>SNX27</t>
  </si>
  <si>
    <t>ENSG00000143376</t>
  </si>
  <si>
    <t>Endo/lysosomal recycling PMID: 20733053; Endosome localization reported in PMID: 27278775, PMID: 34079125</t>
  </si>
  <si>
    <t>SPAST</t>
  </si>
  <si>
    <t>ENSG00000021574</t>
  </si>
  <si>
    <t>Function in endosome tubulation: PMID: 23897888; Endosome localization reported in PMID: 27278775</t>
  </si>
  <si>
    <t>SPTLC2</t>
  </si>
  <si>
    <t>ENSG00000100596</t>
  </si>
  <si>
    <t>SRP54</t>
  </si>
  <si>
    <t>ENSG00000100883</t>
  </si>
  <si>
    <t>Subunit of the EMC, an ER membrane complex PMID: 32439656; ER localization reported in PMID: 27278775</t>
  </si>
  <si>
    <t>SRPRB</t>
  </si>
  <si>
    <t>ENSG00000144867</t>
  </si>
  <si>
    <t>Transmembrane subunit of the SRP receptor at the ER PMID: 7844142</t>
  </si>
  <si>
    <t>STT3A</t>
  </si>
  <si>
    <t>ENSG00000134910</t>
  </si>
  <si>
    <t>Transmembrane subunit of OST, a complex of the ER membrane; ER localization reported in PMID: 27278775</t>
  </si>
  <si>
    <t>STX18</t>
  </si>
  <si>
    <t>ENSG00000168818</t>
  </si>
  <si>
    <t>SYVN1</t>
  </si>
  <si>
    <t>ENSG00000162298</t>
  </si>
  <si>
    <t>Endoplasmic reticulum;Plasma membrane</t>
  </si>
  <si>
    <t>Transmembrane protein, ER localization: PMID: 12646171</t>
  </si>
  <si>
    <t>TERF1</t>
  </si>
  <si>
    <t>ENSG00000147601</t>
  </si>
  <si>
    <t>Component of the telomere cap PMID: 16166375</t>
  </si>
  <si>
    <t>VDAC1</t>
  </si>
  <si>
    <t>ENSG00000213585</t>
  </si>
  <si>
    <t>mitochondria</t>
  </si>
  <si>
    <t>Mitochondrial channel: PMID: 7539795; Mitochondrial localization reported in PMID: 27278775, PMID: 34079125</t>
  </si>
  <si>
    <t>VPS33A</t>
  </si>
  <si>
    <t>ENSG00000139719</t>
  </si>
  <si>
    <t>Endosomal tether PMID: 24554770; Endosome localization reported in PMID: 27278775, PMID: 34079125</t>
  </si>
  <si>
    <t>VPS8</t>
  </si>
  <si>
    <t>ENSG00000156931</t>
  </si>
  <si>
    <t>Component of CORVET, and endosomal compex: PMID: 25266290; Endosome localization reported in PMID: 27278775, PMID: 34079125</t>
  </si>
  <si>
    <t>WDR75</t>
  </si>
  <si>
    <t>ENSG00000115368</t>
  </si>
  <si>
    <t>KIF3B</t>
  </si>
  <si>
    <t>ENSG00000101350</t>
  </si>
  <si>
    <t>cytoplasm,centrosome</t>
  </si>
  <si>
    <t>Centrosomal location: PMID: 31700928</t>
  </si>
  <si>
    <t>LMAN1</t>
  </si>
  <si>
    <t>ENSG00000074695</t>
  </si>
  <si>
    <t>Transmembrane protein (also known as ERGIC53) marker of the vesicular ER-Golgi intermediate compartment PMID: 13130098; ER/Golgi localization reported in PMID: 27278775, PMID: 34079125</t>
  </si>
  <si>
    <t>ATG2B</t>
  </si>
  <si>
    <t>ENSG00000066739</t>
  </si>
  <si>
    <t>Lipid binding, regulates autophagosome membrane formation PMID: 31721365; PMID: 22219374</t>
  </si>
  <si>
    <t>PIP4K2B</t>
  </si>
  <si>
    <t>ENSG00000276293</t>
  </si>
  <si>
    <t>membrane,cytoplasm</t>
  </si>
  <si>
    <t>Plasma membrane localization reported in PMID: 27278775</t>
  </si>
  <si>
    <t>SLC15A4</t>
  </si>
  <si>
    <t>ENSG00000139370</t>
  </si>
  <si>
    <t>Transmembrane protein, lysosomal transporter: PMID: 25238095</t>
  </si>
  <si>
    <t>MYL12A</t>
  </si>
  <si>
    <t>ENSG00000101608</t>
  </si>
  <si>
    <t>cytoskeleton,cytoplasm</t>
  </si>
  <si>
    <t>Nucleoli fibrillar center;Nucleoplasm</t>
  </si>
  <si>
    <t>Myosin (actin motor) subunit, consistent with cytoskeletal localization</t>
  </si>
  <si>
    <t>Functional evidence OpenCell</t>
  </si>
  <si>
    <t>MYL12B</t>
  </si>
  <si>
    <t>ENSG00000118680</t>
  </si>
  <si>
    <t>cytoskeleton,cytoplasmic</t>
  </si>
  <si>
    <t>MYL6B</t>
  </si>
  <si>
    <t>ENSG00000196465</t>
  </si>
  <si>
    <t>cytoskeleton,cytoplasm,membrane</t>
  </si>
  <si>
    <t>ALG2</t>
  </si>
  <si>
    <t>ENSG00000119523</t>
  </si>
  <si>
    <t>Actin filaments;Cytosol</t>
  </si>
  <si>
    <t>Transmembrane protein, yeast ortholog localizes to ER (SGD:S000003033)</t>
  </si>
  <si>
    <t>ANKRD52</t>
  </si>
  <si>
    <t>ENSG00000139645</t>
  </si>
  <si>
    <t>Mitochondria;Nucleoplasm</t>
  </si>
  <si>
    <t>Cytoplasmic localization reported in PMID: 27278775; Not annotated as a mitochondrial protein in mitocarta</t>
  </si>
  <si>
    <t>ARAF</t>
  </si>
  <si>
    <t>ENSG00000078061</t>
  </si>
  <si>
    <t>Cytoplasmic: PMID: 27278775</t>
  </si>
  <si>
    <t>ATP6V0A2</t>
  </si>
  <si>
    <t>ENSG00000185344</t>
  </si>
  <si>
    <t>golgi,er</t>
  </si>
  <si>
    <t xml:space="preserve">Transmembrane protein, function in Golgi pH homeostasis: PMID: 26611489, </t>
  </si>
  <si>
    <t>CALM1</t>
  </si>
  <si>
    <t>ENSG00000198668</t>
  </si>
  <si>
    <t>nucleoplasm,cytoplasm,centrosome,cell_contact</t>
  </si>
  <si>
    <t>DBNL</t>
  </si>
  <si>
    <t>ENSG00000136279</t>
  </si>
  <si>
    <t>vesicles,cell_contact</t>
  </si>
  <si>
    <t>Actin adapter protein that plays a role in endocytosis: PMID: 14729663</t>
  </si>
  <si>
    <t>DNM1</t>
  </si>
  <si>
    <t>ENSG00000106976</t>
  </si>
  <si>
    <t>Endocytic factor, cytoplasmic and vesicular localization: PMID: 15703209</t>
  </si>
  <si>
    <t>ERG28</t>
  </si>
  <si>
    <t>ENSG00000133935</t>
  </si>
  <si>
    <t xml:space="preserve">Transmembrane protein, yeast homolog ERG28 is in the ER (SGD:S000000846) </t>
  </si>
  <si>
    <t>GSK3B</t>
  </si>
  <si>
    <t>ENSG00000082701</t>
  </si>
  <si>
    <t>HOMER1</t>
  </si>
  <si>
    <t>ENSG00000152413</t>
  </si>
  <si>
    <t>cell_contact,centrosome</t>
  </si>
  <si>
    <t>Scaffolding protein at plasma membrane: PMID: 18218901, PMID: 17316461</t>
  </si>
  <si>
    <t>HSPA12A</t>
  </si>
  <si>
    <t>ENSG00000165868</t>
  </si>
  <si>
    <t>membrane,cell_contact</t>
  </si>
  <si>
    <t>Cytosol;Golgi apparatus</t>
  </si>
  <si>
    <t>Adapter for plasma membrane endocytosis; PMID: 30679749</t>
  </si>
  <si>
    <t>INPP4A</t>
  </si>
  <si>
    <t>ENSG00000040933</t>
  </si>
  <si>
    <t>Nuclear membrane;Nucleoplasm</t>
  </si>
  <si>
    <t>Lipid phosphatase active at endosomes PMID: 15716355</t>
  </si>
  <si>
    <t>KLC4</t>
  </si>
  <si>
    <t>ENSG00000137171</t>
  </si>
  <si>
    <t>Kinesin light chain, centrosomal location compatible with role in microtubule-based transport</t>
  </si>
  <si>
    <t>NUF2</t>
  </si>
  <si>
    <t>ENSG00000143228</t>
  </si>
  <si>
    <t>Cytosol;Kinetochore</t>
  </si>
  <si>
    <t>NDC80 complex, microtubule binding PMID: 23085714 regulates kinetochore assembly PMID: 21311965 ; localization in interphase not studied</t>
  </si>
  <si>
    <t>PHLDB1</t>
  </si>
  <si>
    <t>ENSG00000019144</t>
  </si>
  <si>
    <t>Mitotic spindle</t>
  </si>
  <si>
    <t>Adapter for plasma membrane endocytosis; PMID: 30679749; Plasma membrane localization reported in PMID: 34079125</t>
  </si>
  <si>
    <t>PIP4K2C</t>
  </si>
  <si>
    <t>ENSG00000166908</t>
  </si>
  <si>
    <t>Nucleoplasm;Plasma membrane</t>
  </si>
  <si>
    <t>ER localization PMID: 9685379</t>
  </si>
  <si>
    <t>RAB24</t>
  </si>
  <si>
    <t>ENSG00000169228</t>
  </si>
  <si>
    <t>Role in mitochondria homeostasis PMID: 32694843; Mitochondira localization reported in PMID: 34079125</t>
  </si>
  <si>
    <t>RABAC1</t>
  </si>
  <si>
    <t>ENSG00000105404</t>
  </si>
  <si>
    <t>RABGGTA</t>
  </si>
  <si>
    <t>ENSG00000100949</t>
  </si>
  <si>
    <t>cytoplasm,big_aggregates</t>
  </si>
  <si>
    <t>Cytoplasmic localization reported in PMID: 27278775; client proteins (Rab) are cytosolic</t>
  </si>
  <si>
    <t>RABL3</t>
  </si>
  <si>
    <t>ENSG00000144840</t>
  </si>
  <si>
    <t>SCFD1</t>
  </si>
  <si>
    <t>ENSG00000092108</t>
  </si>
  <si>
    <t>Known role in ER-Golgi transport PMID: 27851892, interacts with Golgi SNAREs PMID 11927603</t>
  </si>
  <si>
    <t>WIPF2</t>
  </si>
  <si>
    <t>ENSG00000171475</t>
  </si>
  <si>
    <t>membrane,cell_contact,cytoplasmic</t>
  </si>
  <si>
    <t>Known regulator or WASP, responsible for actin polymerization at the plasma membrane PMID: 11829459; PMID: 12213210</t>
  </si>
  <si>
    <t>AGPAT2</t>
  </si>
  <si>
    <t>ENSG00000169692</t>
  </si>
  <si>
    <t>no clear data localization data available</t>
  </si>
  <si>
    <t>Unconclusive</t>
  </si>
  <si>
    <t>ALDH16A1</t>
  </si>
  <si>
    <t>ENSG00000161618</t>
  </si>
  <si>
    <t>AMBRA1</t>
  </si>
  <si>
    <t>ENSG00000110497</t>
  </si>
  <si>
    <t>nucleoplasm,cytoplasmic</t>
  </si>
  <si>
    <t>ANKRD10</t>
  </si>
  <si>
    <t>ENSG00000088448</t>
  </si>
  <si>
    <t>ANKRD46</t>
  </si>
  <si>
    <t>ENSG00000186106</t>
  </si>
  <si>
    <t>Transmembrane protein</t>
  </si>
  <si>
    <t>ARHGAP35</t>
  </si>
  <si>
    <t>ENSG00000160007</t>
  </si>
  <si>
    <t>Aggresome</t>
  </si>
  <si>
    <t>Contains lipid binding domain PMID: 19673492</t>
  </si>
  <si>
    <t>ARHGAP8</t>
  </si>
  <si>
    <t>ENSG00000241484</t>
  </si>
  <si>
    <t>GAP for Rho GTPase, no clear localization data available</t>
  </si>
  <si>
    <t>C14orf119</t>
  </si>
  <si>
    <t>ENSG00000179933</t>
  </si>
  <si>
    <t>cytoplasm,nucleoplasm</t>
  </si>
  <si>
    <t>Cytoplasmic localization reported in PMID: 27278775; Not present in mitocarta</t>
  </si>
  <si>
    <t>C9orf16</t>
  </si>
  <si>
    <t>ENSG00000171159</t>
  </si>
  <si>
    <t>CDIPT</t>
  </si>
  <si>
    <t>ENSG00000103502</t>
  </si>
  <si>
    <t>vesicles,er,golgi</t>
  </si>
  <si>
    <t>Nuclear membrane;Nucleoplasm;Plasma membrane</t>
  </si>
  <si>
    <t>ER localization reported in PMID: 27278775, nucleoplasm localization reported in PMID: 34079125; yeast homolog found in ER and Golgi (SGD:S000006317)</t>
  </si>
  <si>
    <t>CDKN2A</t>
  </si>
  <si>
    <t>ENSG00000147889</t>
  </si>
  <si>
    <t>Cytoplasmic localization reported in PMID: 27278775</t>
  </si>
  <si>
    <t>CTBP2</t>
  </si>
  <si>
    <t>ENSG00000175029</t>
  </si>
  <si>
    <t>nucleoplasm,nuclear_punctae</t>
  </si>
  <si>
    <t>DEPDC1B</t>
  </si>
  <si>
    <t>ENSG00000035499</t>
  </si>
  <si>
    <t>Membrane localization reported in PMID: 34079125</t>
  </si>
  <si>
    <t>DnaJB2</t>
  </si>
  <si>
    <t>ENSG00000135924</t>
  </si>
  <si>
    <t>big_aggregates,cytoplasmic</t>
  </si>
  <si>
    <t>DnaJC18</t>
  </si>
  <si>
    <t>ENSG00000170464</t>
  </si>
  <si>
    <t>big_aggregates</t>
  </si>
  <si>
    <t>Cell Junctions</t>
  </si>
  <si>
    <t>Transfer of ribosomes to ER membrane for translocation PMID: 15546655; ER localization reported in PMID: 27278775, PMID: 34079125</t>
  </si>
  <si>
    <t>DOCK11</t>
  </si>
  <si>
    <t>ENSG00000147251</t>
  </si>
  <si>
    <t>FAM174C</t>
  </si>
  <si>
    <t>ENSG00000228300</t>
  </si>
  <si>
    <t>Transmembrane protein, no clear localization data available</t>
  </si>
  <si>
    <t>FTH1</t>
  </si>
  <si>
    <t>ENSG00000167996</t>
  </si>
  <si>
    <t>Ferritin, iron storage protein; Endosome localization reported in PMID: 27278775</t>
  </si>
  <si>
    <t>GDI1</t>
  </si>
  <si>
    <t>ENSG00000203879</t>
  </si>
  <si>
    <t>Cytosolic: PMID: 19570034, but Rab clients can be membrane-bound</t>
  </si>
  <si>
    <t>GRK2</t>
  </si>
  <si>
    <t>ENSG00000173020</t>
  </si>
  <si>
    <t>GYG1</t>
  </si>
  <si>
    <t>ENSG00000163754</t>
  </si>
  <si>
    <t>Part of glycogen biogenesis, a cytoplasmic process</t>
  </si>
  <si>
    <t>MFSD11</t>
  </si>
  <si>
    <t>ENSG00000092931</t>
  </si>
  <si>
    <t>Transmembrane protein, no clear localization reported</t>
  </si>
  <si>
    <t>NEK9</t>
  </si>
  <si>
    <t>ENSG00000119638</t>
  </si>
  <si>
    <t>PDCD6IP</t>
  </si>
  <si>
    <t>ENSG00000170248</t>
  </si>
  <si>
    <t>Cytoplasmic localization reported in PMID: 27278775; known interactor of membrane-remodeling ESCRT</t>
  </si>
  <si>
    <t>PKN1</t>
  </si>
  <si>
    <t>ENSG00000123143</t>
  </si>
  <si>
    <t>Cytokinetic bridge;Focal adhesion sites</t>
  </si>
  <si>
    <t>no clear localization data available</t>
  </si>
  <si>
    <t>RABEPK</t>
  </si>
  <si>
    <t>ENSG00000136933</t>
  </si>
  <si>
    <t>Role in endosome/Golgi transport PMID: 9230071 PMID: 14530284; Cytoplasmic localization reported in PMID: 27278775</t>
  </si>
  <si>
    <t>RABGGTB</t>
  </si>
  <si>
    <t>ENSG00000137955</t>
  </si>
  <si>
    <t>Rab protein (membrane identity) regulator PMID: 1321151; Cytosolic localization reported in PMID: 27278775</t>
  </si>
  <si>
    <t>RABIF</t>
  </si>
  <si>
    <t>ENSG00000183155</t>
  </si>
  <si>
    <t>Cytokinetic bridge;Microtubules</t>
  </si>
  <si>
    <t>RAF1</t>
  </si>
  <si>
    <t>ENSG00000132155</t>
  </si>
  <si>
    <t>SEC14L1</t>
  </si>
  <si>
    <t>ENSG00000129657</t>
  </si>
  <si>
    <t>Regulates membrane protein transport: PMID: 17092608</t>
  </si>
  <si>
    <t>SNUPN</t>
  </si>
  <si>
    <t>ENSG00000169371</t>
  </si>
  <si>
    <t>nucleoplasm,cytoplasm,big_aggregates</t>
  </si>
  <si>
    <t>Can shuttle between nucleus and cytoplasm PMID: 10209022 PMID: 9670026 PMID: 12095920; Cytoplasmic localization reported in PMID: 27278775</t>
  </si>
  <si>
    <t>STK11</t>
  </si>
  <si>
    <t>ENSG00000118046</t>
  </si>
  <si>
    <t>centrosome,cell_contact</t>
  </si>
  <si>
    <t>Lipid binding PMID: 28649994; Centrosome regulation PMID: 24722282; Can translocate to nucleus PMID: 23612973</t>
  </si>
  <si>
    <t>hpa_link</t>
  </si>
  <si>
    <t>uniprot_link</t>
  </si>
  <si>
    <t>opencell_link</t>
  </si>
  <si>
    <t>https://opencell.czbiohub.org/target/348</t>
  </si>
  <si>
    <t>https://www.uniprot.org/uniprot/Q8WUD6</t>
  </si>
  <si>
    <t>https://opencell.czbiohub.org/target/886</t>
  </si>
  <si>
    <t>https://www.uniprot.org/uniprot/P26038</t>
  </si>
  <si>
    <t>https://opencell.czbiohub.org/target/505</t>
  </si>
  <si>
    <t>https://www.uniprot.org/uniprot/P61160</t>
  </si>
  <si>
    <t>https://opencell.czbiohub.org/target/1399</t>
  </si>
  <si>
    <t>https://www.uniprot.org/uniprot/Q96NW4</t>
  </si>
  <si>
    <t>https://opencell.czbiohub.org/target/504</t>
  </si>
  <si>
    <t>https://www.uniprot.org/uniprot/Q9UKG1</t>
  </si>
  <si>
    <t>https://opencell.czbiohub.org/target/653</t>
  </si>
  <si>
    <t>https://www.uniprot.org/uniprot/P84077</t>
  </si>
  <si>
    <t>https://opencell.czbiohub.org/target/1775</t>
  </si>
  <si>
    <t>https://www.uniprot.org/uniprot/O15144</t>
  </si>
  <si>
    <t>https://opencell.czbiohub.org/target/508</t>
  </si>
  <si>
    <t>https://www.uniprot.org/uniprot/O15145</t>
  </si>
  <si>
    <t>https://opencell.czbiohub.org/target/1651</t>
  </si>
  <si>
    <t>https://www.uniprot.org/uniprot/O75348</t>
  </si>
  <si>
    <t>https://opencell.czbiohub.org/target/1130</t>
  </si>
  <si>
    <t>https://www.uniprot.org/uniprot/Q9NRL2</t>
  </si>
  <si>
    <t>https://opencell.czbiohub.org/target/262</t>
  </si>
  <si>
    <t>https://www.uniprot.org/uniprot/O60826</t>
  </si>
  <si>
    <t>https://opencell.czbiohub.org/target/344</t>
  </si>
  <si>
    <t>https://www.uniprot.org/uniprot/Q92903</t>
  </si>
  <si>
    <t>https://opencell.czbiohub.org/target/926</t>
  </si>
  <si>
    <t>https://www.uniprot.org/uniprot/Q9NSP4</t>
  </si>
  <si>
    <t>https://opencell.czbiohub.org/target/202</t>
  </si>
  <si>
    <t>https://www.uniprot.org/uniprot/Q66GS9</t>
  </si>
  <si>
    <t>https://opencell.czbiohub.org/target/194</t>
  </si>
  <si>
    <t>https://www.uniprot.org/uniprot/Q6P2H3</t>
  </si>
  <si>
    <t>https://opencell.czbiohub.org/target/1883</t>
  </si>
  <si>
    <t>https://www.uniprot.org/uniprot/Q8N5B7</t>
  </si>
  <si>
    <t>https://opencell.czbiohub.org/target/1010</t>
  </si>
  <si>
    <t>https://www.uniprot.org/uniprot/Q6ZMG9</t>
  </si>
  <si>
    <t>https://opencell.czbiohub.org/target/1531</t>
  </si>
  <si>
    <t>https://www.uniprot.org/uniprot/Q07065</t>
  </si>
  <si>
    <t>https://opencell.czbiohub.org/target/1656</t>
  </si>
  <si>
    <t>https://www.uniprot.org/uniprot/P51798</t>
  </si>
  <si>
    <t>https://opencell.czbiohub.org/target/1734</t>
  </si>
  <si>
    <t>https://www.uniprot.org/uniprot/O96005</t>
  </si>
  <si>
    <t>https://opencell.czbiohub.org/target/266</t>
  </si>
  <si>
    <t>https://www.uniprot.org/uniprot/Q8N668</t>
  </si>
  <si>
    <t>https://opencell.czbiohub.org/target/267</t>
  </si>
  <si>
    <t>https://www.uniprot.org/uniprot/Q86X83</t>
  </si>
  <si>
    <t>https://opencell.czbiohub.org/target/915</t>
  </si>
  <si>
    <t>https://www.uniprot.org/uniprot/P35606</t>
  </si>
  <si>
    <t>https://opencell.czbiohub.org/target/1162</t>
  </si>
  <si>
    <t>https://www.uniprot.org/uniprot/P48730</t>
  </si>
  <si>
    <t>https://opencell.czbiohub.org/target/186</t>
  </si>
  <si>
    <t>https://www.uniprot.org/uniprot/P61803</t>
  </si>
  <si>
    <t>https://opencell.czbiohub.org/target/1166</t>
  </si>
  <si>
    <t>https://www.uniprot.org/uniprot/O43293</t>
  </si>
  <si>
    <t>https://opencell.czbiohub.org/target/299</t>
  </si>
  <si>
    <t>https://www.uniprot.org/uniprot/O15121</t>
  </si>
  <si>
    <t>https://opencell.czbiohub.org/target/1106</t>
  </si>
  <si>
    <t>https://www.uniprot.org/uniprot/Q8IY37</t>
  </si>
  <si>
    <t>https://opencell.czbiohub.org/target/1749</t>
  </si>
  <si>
    <t>https://www.uniprot.org/uniprot/P26641</t>
  </si>
  <si>
    <t>https://opencell.czbiohub.org/target/1653</t>
  </si>
  <si>
    <t>https://www.uniprot.org/uniprot/Q9P0I2</t>
  </si>
  <si>
    <t>https://opencell.czbiohub.org/target/1791</t>
  </si>
  <si>
    <t>https://www.uniprot.org/uniprot/Q5J8M3</t>
  </si>
  <si>
    <t>https://opencell.czbiohub.org/target/1792</t>
  </si>
  <si>
    <t>https://www.uniprot.org/uniprot/Q9NPA0</t>
  </si>
  <si>
    <t>https://opencell.czbiohub.org/target/1793</t>
  </si>
  <si>
    <t>https://www.uniprot.org/uniprot/O43402</t>
  </si>
  <si>
    <t>https://opencell.czbiohub.org/target/1794</t>
  </si>
  <si>
    <t>https://www.uniprot.org/uniprot/Q9Y3B6</t>
  </si>
  <si>
    <t>https://opencell.czbiohub.org/target/2011</t>
  </si>
  <si>
    <t>https://www.uniprot.org/uniprot/Q9NSI2</t>
  </si>
  <si>
    <t>https://opencell.czbiohub.org/target/576</t>
  </si>
  <si>
    <t>https://www.uniprot.org/uniprot/Q9Y4F1</t>
  </si>
  <si>
    <t>https://opencell.czbiohub.org/target/326</t>
  </si>
  <si>
    <t>https://www.uniprot.org/uniprot/Q53EU6</t>
  </si>
  <si>
    <t>https://opencell.czbiohub.org/target/51</t>
  </si>
  <si>
    <t>https://www.uniprot.org/uniprot/Q9Y547</t>
  </si>
  <si>
    <t>https://opencell.czbiohub.org/target/727</t>
  </si>
  <si>
    <t>https://www.uniprot.org/uniprot/P05783</t>
  </si>
  <si>
    <t>https://opencell.czbiohub.org/target/890</t>
  </si>
  <si>
    <t>https://www.uniprot.org/uniprot/P02545</t>
  </si>
  <si>
    <t>https://opencell.czbiohub.org/target/338</t>
  </si>
  <si>
    <t>https://www.uniprot.org/uniprot/Q96N66</t>
  </si>
  <si>
    <t>https://opencell.czbiohub.org/target/1850</t>
  </si>
  <si>
    <t>https://www.uniprot.org/uniprot/Q6NUT3</t>
  </si>
  <si>
    <t>https://opencell.czbiohub.org/target/144</t>
  </si>
  <si>
    <t>https://www.uniprot.org/uniprot/Q13613</t>
  </si>
  <si>
    <t>https://opencell.czbiohub.org/target/782</t>
  </si>
  <si>
    <t>https://www.uniprot.org/uniprot/Q96EY5</t>
  </si>
  <si>
    <t>https://opencell.czbiohub.org/target/1442</t>
  </si>
  <si>
    <t>https://www.uniprot.org/uniprot/Q9UM54</t>
  </si>
  <si>
    <t>https://opencell.czbiohub.org/target/1507</t>
  </si>
  <si>
    <t>https://www.uniprot.org/uniprot/Q9HCH0</t>
  </si>
  <si>
    <t>https://opencell.czbiohub.org/target/2039</t>
  </si>
  <si>
    <t>https://www.uniprot.org/uniprot/Q969V3</t>
  </si>
  <si>
    <t>https://opencell.czbiohub.org/target/1035</t>
  </si>
  <si>
    <t>https://www.uniprot.org/uniprot/Q9NX24</t>
  </si>
  <si>
    <t>https://opencell.czbiohub.org/target/1046</t>
  </si>
  <si>
    <t>https://www.uniprot.org/uniprot/Q9NPE3</t>
  </si>
  <si>
    <t>https://opencell.czbiohub.org/target/1517</t>
  </si>
  <si>
    <t>https://www.uniprot.org/uniprot/Q7Z417</t>
  </si>
  <si>
    <t>https://opencell.czbiohub.org/target/1715</t>
  </si>
  <si>
    <t>https://www.uniprot.org/uniprot/P57740</t>
  </si>
  <si>
    <t>https://opencell.czbiohub.org/target/1717</t>
  </si>
  <si>
    <t>https://www.uniprot.org/uniprot/P35658</t>
  </si>
  <si>
    <t>https://opencell.czbiohub.org/target/1714</t>
  </si>
  <si>
    <t>https://www.uniprot.org/uniprot/P52948</t>
  </si>
  <si>
    <t>https://opencell.czbiohub.org/target/354</t>
  </si>
  <si>
    <t>https://www.uniprot.org/uniprot/Q96D31</t>
  </si>
  <si>
    <t>https://opencell.czbiohub.org/target/1735</t>
  </si>
  <si>
    <t>https://www.uniprot.org/uniprot/O15173</t>
  </si>
  <si>
    <t>https://opencell.czbiohub.org/target/145</t>
  </si>
  <si>
    <t>https://www.uniprot.org/uniprot/P42356</t>
  </si>
  <si>
    <t>https://opencell.czbiohub.org/target/146</t>
  </si>
  <si>
    <t>https://www.uniprot.org/uniprot/O00459</t>
  </si>
  <si>
    <t>https://opencell.czbiohub.org/target/843</t>
  </si>
  <si>
    <t>https://www.uniprot.org/uniprot/O15160</t>
  </si>
  <si>
    <t>https://opencell.czbiohub.org/target/1244</t>
  </si>
  <si>
    <t>https://www.uniprot.org/uniprot/Q13131</t>
  </si>
  <si>
    <t>https://opencell.czbiohub.org/target/117</t>
  </si>
  <si>
    <t>https://www.uniprot.org/uniprot/Q15008</t>
  </si>
  <si>
    <t>https://opencell.czbiohub.org/target/443</t>
  </si>
  <si>
    <t>https://www.uniprot.org/uniprot/P51151</t>
  </si>
  <si>
    <t>https://opencell.czbiohub.org/target/1521</t>
  </si>
  <si>
    <t>https://www.uniprot.org/uniprot/Q9BRK0</t>
  </si>
  <si>
    <t>https://opencell.czbiohub.org/target/1523</t>
  </si>
  <si>
    <t>https://www.uniprot.org/uniprot/Q9H6H4</t>
  </si>
  <si>
    <t>https://opencell.czbiohub.org/target/1029</t>
  </si>
  <si>
    <t>https://www.uniprot.org/uniprot/P62913</t>
  </si>
  <si>
    <t>https://opencell.czbiohub.org/target/976</t>
  </si>
  <si>
    <t>https://www.uniprot.org/uniprot/P60903</t>
  </si>
  <si>
    <t>https://opencell.czbiohub.org/target/1310</t>
  </si>
  <si>
    <t>https://www.uniprot.org/uniprot/P49281</t>
  </si>
  <si>
    <t>https://opencell.czbiohub.org/target/1317</t>
  </si>
  <si>
    <t>https://www.uniprot.org/uniprot/P43003</t>
  </si>
  <si>
    <t>https://opencell.czbiohub.org/target/1321</t>
  </si>
  <si>
    <t>https://www.uniprot.org/uniprot/Q9BXS9</t>
  </si>
  <si>
    <t>https://opencell.czbiohub.org/target/1332</t>
  </si>
  <si>
    <t>https://www.uniprot.org/uniprot/O00400</t>
  </si>
  <si>
    <t>https://opencell.czbiohub.org/target/1343</t>
  </si>
  <si>
    <t>https://www.uniprot.org/uniprot/Q8IXU6</t>
  </si>
  <si>
    <t>https://opencell.czbiohub.org/target/1459</t>
  </si>
  <si>
    <t>https://www.uniprot.org/uniprot/P62316</t>
  </si>
  <si>
    <t>https://opencell.czbiohub.org/target/686</t>
  </si>
  <si>
    <t>https://www.uniprot.org/uniprot/Q9Y5W9</t>
  </si>
  <si>
    <t>https://opencell.czbiohub.org/target/693</t>
  </si>
  <si>
    <t>https://www.uniprot.org/uniprot/Q96L92</t>
  </si>
  <si>
    <t>https://opencell.czbiohub.org/target/784</t>
  </si>
  <si>
    <t>https://www.uniprot.org/uniprot/Q9UBP0</t>
  </si>
  <si>
    <t>https://opencell.czbiohub.org/target/293</t>
  </si>
  <si>
    <t>https://www.uniprot.org/uniprot/O15270</t>
  </si>
  <si>
    <t>https://opencell.czbiohub.org/target/1105</t>
  </si>
  <si>
    <t>https://www.uniprot.org/uniprot/P61011</t>
  </si>
  <si>
    <t>https://opencell.czbiohub.org/target/1599</t>
  </si>
  <si>
    <t>https://www.uniprot.org/uniprot/Q9Y5M8</t>
  </si>
  <si>
    <t>https://opencell.czbiohub.org/target/181</t>
  </si>
  <si>
    <t>https://www.uniprot.org/uniprot/P46977</t>
  </si>
  <si>
    <t>https://opencell.czbiohub.org/target/758</t>
  </si>
  <si>
    <t>https://www.uniprot.org/uniprot/Q9P2W9</t>
  </si>
  <si>
    <t>https://opencell.czbiohub.org/target/363</t>
  </si>
  <si>
    <t>https://www.uniprot.org/uniprot/Q86TM6</t>
  </si>
  <si>
    <t>https://opencell.czbiohub.org/target/1729</t>
  </si>
  <si>
    <t>https://www.uniprot.org/uniprot/P54274</t>
  </si>
  <si>
    <t>https://opencell.czbiohub.org/target/86</t>
  </si>
  <si>
    <t>https://www.uniprot.org/uniprot/P21796</t>
  </si>
  <si>
    <t>https://opencell.czbiohub.org/target/1859</t>
  </si>
  <si>
    <t>https://www.uniprot.org/uniprot/Q96AX1</t>
  </si>
  <si>
    <t>https://opencell.czbiohub.org/target/1787</t>
  </si>
  <si>
    <t>https://www.uniprot.org/uniprot/Q8N3P4</t>
  </si>
  <si>
    <t>Function in ribosomal RNA synthesis, a nucleolar process¬¨‚Ä† PMID: 17699751; Nucleolus localization reported in PMID: 34079125</t>
  </si>
  <si>
    <t>https://opencell.czbiohub.org/target/1102</t>
  </si>
  <si>
    <t>https://www.uniprot.org/uniprot/Q8IWA0</t>
  </si>
  <si>
    <t>https://opencell.czbiohub.org/target/1424</t>
  </si>
  <si>
    <t>https://www.uniprot.org/uniprot/O15066</t>
  </si>
  <si>
    <t>https://opencell.czbiohub.org/target/923</t>
  </si>
  <si>
    <t>https://www.uniprot.org/uniprot/P49257</t>
  </si>
  <si>
    <t>https://opencell.czbiohub.org/target/1815</t>
  </si>
  <si>
    <t>https://www.uniprot.org/uniprot/Q96BY7</t>
  </si>
  <si>
    <t>https://opencell.czbiohub.org/target/156</t>
  </si>
  <si>
    <t>https://www.uniprot.org/uniprot/P78356</t>
  </si>
  <si>
    <t>https://opencell.czbiohub.org/target/1382</t>
  </si>
  <si>
    <t>https://www.uniprot.org/uniprot/Q8N697</t>
  </si>
  <si>
    <t>https://opencell.czbiohub.org/target/1436</t>
  </si>
  <si>
    <t>https://www.uniprot.org/uniprot/P19105</t>
  </si>
  <si>
    <t>https://opencell.czbiohub.org/target/613</t>
  </si>
  <si>
    <t>https://www.uniprot.org/uniprot/O14950</t>
  </si>
  <si>
    <t>https://opencell.czbiohub.org/target/1438</t>
  </si>
  <si>
    <t>https://www.uniprot.org/uniprot/P14649</t>
  </si>
  <si>
    <t>https://opencell.czbiohub.org/target/957</t>
  </si>
  <si>
    <t>https://www.uniprot.org/uniprot/Q9H553</t>
  </si>
  <si>
    <t>https://opencell.czbiohub.org/target/1391</t>
  </si>
  <si>
    <t>https://www.uniprot.org/uniprot/Q8NB46</t>
  </si>
  <si>
    <t>https://opencell.czbiohub.org/target/1126</t>
  </si>
  <si>
    <t>https://www.uniprot.org/uniprot/P10398</t>
  </si>
  <si>
    <t>https://opencell.czbiohub.org/target/1642</t>
  </si>
  <si>
    <t>https://www.uniprot.org/uniprot/Q9Y487</t>
  </si>
  <si>
    <t>https://opencell.czbiohub.org/target/357</t>
  </si>
  <si>
    <t>https://www.uniprot.org/uniprot/P0DP23</t>
  </si>
  <si>
    <t>https://opencell.czbiohub.org/target/522</t>
  </si>
  <si>
    <t>https://www.uniprot.org/uniprot/Q9UJU6</t>
  </si>
  <si>
    <t>https://opencell.czbiohub.org/target/523</t>
  </si>
  <si>
    <t>https://www.uniprot.org/uniprot/Q05193</t>
  </si>
  <si>
    <t>https://opencell.czbiohub.org/target/370</t>
  </si>
  <si>
    <t>https://www.uniprot.org/uniprot/Q9UKR5</t>
  </si>
  <si>
    <t>https://opencell.czbiohub.org/target/1183</t>
  </si>
  <si>
    <t>https://www.uniprot.org/uniprot/P49841</t>
  </si>
  <si>
    <t>https://opencell.czbiohub.org/target/965</t>
  </si>
  <si>
    <t>https://www.uniprot.org/uniprot/Q86YM7</t>
  </si>
  <si>
    <t>https://opencell.czbiohub.org/target/44</t>
  </si>
  <si>
    <t>https://www.uniprot.org/uniprot/O43301</t>
  </si>
  <si>
    <t>https://opencell.czbiohub.org/target/157</t>
  </si>
  <si>
    <t>https://www.uniprot.org/uniprot/Q96PE3</t>
  </si>
  <si>
    <t>https://opencell.czbiohub.org/target/1434</t>
  </si>
  <si>
    <t>https://www.uniprot.org/uniprot/Q9NSK0</t>
  </si>
  <si>
    <t>https://opencell.czbiohub.org/target/1832</t>
  </si>
  <si>
    <t>https://www.uniprot.org/uniprot/Q9BZD4</t>
  </si>
  <si>
    <t>https://opencell.czbiohub.org/target/1613</t>
  </si>
  <si>
    <t>https://www.uniprot.org/uniprot/Q86UU1</t>
  </si>
  <si>
    <t>https://opencell.czbiohub.org/target/158</t>
  </si>
  <si>
    <t>https://www.uniprot.org/uniprot/Q8TBX8</t>
  </si>
  <si>
    <t>https://opencell.czbiohub.org/target/426</t>
  </si>
  <si>
    <t>https://www.uniprot.org/uniprot/Q969Q5</t>
  </si>
  <si>
    <t>https://opencell.czbiohub.org/target/444</t>
  </si>
  <si>
    <t>https://www.uniprot.org/uniprot/Q9UI14</t>
  </si>
  <si>
    <t>https://opencell.czbiohub.org/target/449</t>
  </si>
  <si>
    <t>https://www.uniprot.org/uniprot/Q92696</t>
  </si>
  <si>
    <t>https://opencell.czbiohub.org/target/452</t>
  </si>
  <si>
    <t>https://www.uniprot.org/uniprot/Q5HYI8</t>
  </si>
  <si>
    <t>https://opencell.czbiohub.org/target/762</t>
  </si>
  <si>
    <t>https://www.uniprot.org/uniprot/Q8WVM8</t>
  </si>
  <si>
    <t>https://opencell.czbiohub.org/target/551</t>
  </si>
  <si>
    <t>https://www.uniprot.org/uniprot/Q8TF74</t>
  </si>
  <si>
    <t>https://opencell.czbiohub.org/target/328</t>
  </si>
  <si>
    <t>https://www.uniprot.org/uniprot/O15120</t>
  </si>
  <si>
    <t>https://opencell.czbiohub.org/target/980</t>
  </si>
  <si>
    <t>https://www.uniprot.org/uniprot/Q8IZ83</t>
  </si>
  <si>
    <t>Nucleo-cytoplasmic, possibly recruited to mitochondria under mitophagy condition¬¨‚Ä† PMID: 25215947</t>
  </si>
  <si>
    <t>https://opencell.czbiohub.org/target/1844</t>
  </si>
  <si>
    <t>https://www.uniprot.org/uniprot/Q9C0C7</t>
  </si>
  <si>
    <t>https://opencell.czbiohub.org/target/1384</t>
  </si>
  <si>
    <t>https://www.uniprot.org/uniprot/Q9NXR5</t>
  </si>
  <si>
    <t>https://opencell.czbiohub.org/target/1394</t>
  </si>
  <si>
    <t>https://www.uniprot.org/uniprot/Q86W74</t>
  </si>
  <si>
    <t>https://opencell.czbiohub.org/target/558</t>
  </si>
  <si>
    <t>https://www.uniprot.org/uniprot/Q9NRY4</t>
  </si>
  <si>
    <t>https://opencell.czbiohub.org/target/560</t>
  </si>
  <si>
    <t>https://www.uniprot.org/uniprot/P85298</t>
  </si>
  <si>
    <t>https://opencell.czbiohub.org/target/371</t>
  </si>
  <si>
    <t>https://www.uniprot.org/uniprot/Q9NWQ9</t>
  </si>
  <si>
    <t>https://opencell.czbiohub.org/target/395</t>
  </si>
  <si>
    <t>https://www.uniprot.org/uniprot/Q9BUW7</t>
  </si>
  <si>
    <t>https://opencell.czbiohub.org/target/347</t>
  </si>
  <si>
    <t>https://www.uniprot.org/uniprot/O14735</t>
  </si>
  <si>
    <t>https://opencell.czbiohub.org/target/1042</t>
  </si>
  <si>
    <t>https://www.uniprot.org/uniprot/P42771</t>
  </si>
  <si>
    <t>https://opencell.czbiohub.org/target/1535</t>
  </si>
  <si>
    <t>https://www.uniprot.org/uniprot/P56545</t>
  </si>
  <si>
    <t>https://opencell.czbiohub.org/target/563</t>
  </si>
  <si>
    <t>https://www.uniprot.org/uniprot/Q8WUY9</t>
  </si>
  <si>
    <t>https://opencell.czbiohub.org/target/17</t>
  </si>
  <si>
    <t>https://www.uniprot.org/uniprot/P25686</t>
  </si>
  <si>
    <t>https://opencell.czbiohub.org/target/27</t>
  </si>
  <si>
    <t>https://www.uniprot.org/uniprot/Q9H819</t>
  </si>
  <si>
    <t>https://opencell.czbiohub.org/target/603</t>
  </si>
  <si>
    <t>https://www.uniprot.org/uniprot/Q5JSL3</t>
  </si>
  <si>
    <t>https://opencell.czbiohub.org/target/378</t>
  </si>
  <si>
    <t>https://www.uniprot.org/uniprot/Q9BVV8</t>
  </si>
  <si>
    <t>https://opencell.czbiohub.org/target/1818</t>
  </si>
  <si>
    <t>https://www.uniprot.org/uniprot/P02794</t>
  </si>
  <si>
    <t>https://opencell.czbiohub.org/target/359</t>
  </si>
  <si>
    <t>https://www.uniprot.org/uniprot/P31150</t>
  </si>
  <si>
    <t>https://opencell.czbiohub.org/target/1921</t>
  </si>
  <si>
    <t>https://www.uniprot.org/uniprot/P25098</t>
  </si>
  <si>
    <t>https://opencell.czbiohub.org/target/1593</t>
  </si>
  <si>
    <t>https://www.uniprot.org/uniprot/P46976</t>
  </si>
  <si>
    <t>https://opencell.czbiohub.org/target/1618</t>
  </si>
  <si>
    <t>https://www.uniprot.org/uniprot/O43934</t>
  </si>
  <si>
    <t>https://opencell.czbiohub.org/target/1227</t>
  </si>
  <si>
    <t>https://www.uniprot.org/uniprot/Q8TD19</t>
  </si>
  <si>
    <t>https://opencell.czbiohub.org/target/69</t>
  </si>
  <si>
    <t>https://www.uniprot.org/uniprot/Q8WUM4</t>
  </si>
  <si>
    <t>https://opencell.czbiohub.org/target/1239</t>
  </si>
  <si>
    <t>https://www.uniprot.org/uniprot/Q16512</t>
  </si>
  <si>
    <t>https://opencell.czbiohub.org/target/446</t>
  </si>
  <si>
    <t>https://www.uniprot.org/uniprot/Q7Z6M1</t>
  </si>
  <si>
    <t>https://opencell.czbiohub.org/target/450</t>
  </si>
  <si>
    <t>https://www.uniprot.org/uniprot/P53611</t>
  </si>
  <si>
    <t>https://opencell.czbiohub.org/target/451</t>
  </si>
  <si>
    <t>https://www.uniprot.org/uniprot/P47224</t>
  </si>
  <si>
    <t>https://opencell.czbiohub.org/target/1255</t>
  </si>
  <si>
    <t>https://www.uniprot.org/uniprot/P04049</t>
  </si>
  <si>
    <t>https://opencell.czbiohub.org/target/282</t>
  </si>
  <si>
    <t>https://www.uniprot.org/uniprot/Q92503</t>
  </si>
  <si>
    <t>https://opencell.czbiohub.org/target/1575</t>
  </si>
  <si>
    <t>https://www.uniprot.org/uniprot/O95149</t>
  </si>
  <si>
    <t>https://opencell.czbiohub.org/target/1275</t>
  </si>
  <si>
    <t>https://www.uniprot.org/uniprot/Q15831</t>
  </si>
  <si>
    <t>gene name</t>
  </si>
  <si>
    <t>ENSG ID</t>
  </si>
  <si>
    <t>Supplementary Table 8: resolving discrepancies between OpenCell and Human Protein Atlas (HPA) datasets</t>
  </si>
  <si>
    <t>"Direct evidence" reports that the localization of the protein target has been directly reported, or that the protein is part of a stable complex whose localization is established.</t>
  </si>
  <si>
    <t xml:space="preserve">"Functional" evidence reports that the localization of the protein target might not have been directly reported, but that its function is clearly supportive of a specific localization.  </t>
  </si>
  <si>
    <t xml:space="preserve">For 147 proteins, the localizations annotated in OpenCell and Human Protein Atlas are not compatible; this table summarizes a broad survey of literature to resolve these discrepancies. </t>
  </si>
  <si>
    <t xml:space="preserve">We categorized the evidence available between three categories: "Unconclusive", "Direct Evidence" and "Supporting evidence". </t>
  </si>
  <si>
    <t>This comparison uses the Human Protein Atlas v20 annotations</t>
  </si>
  <si>
    <t>Plasma membrane phosphatase PMID: 27018598; Membrane localization reported in PMID: 34079125</t>
  </si>
  <si>
    <t>Transmembrane protein, ER localization PMID: 23911198; ER localization reported in PMID: 27278775, PMID: 34079125</t>
  </si>
  <si>
    <t>Ribosomal protein, assembled into ribosome in nucleolus, active in cytoplasm PMID: 25901680</t>
  </si>
  <si>
    <t>Subunit of serine palmitoyl transferase, which functions at the ER PMID: 23611790 ; ER localization reported in PMID: 27278775</t>
  </si>
  <si>
    <t>Centrosome: PMID: 14654843 Plasma membrane PMID: 27278775</t>
  </si>
  <si>
    <t>Expected to function in cytoplasm: PMID: 25435019</t>
  </si>
  <si>
    <t>https://v20.proteinatlas.org/ENSG00000111666/cell</t>
  </si>
  <si>
    <t>https://v20.proteinatlas.org/ENSG00000147065/cell</t>
  </si>
  <si>
    <t>https://v20.proteinatlas.org/ENSG00000138071/cell</t>
  </si>
  <si>
    <t>https://v20.proteinatlas.org/ENSG00000105186/cell</t>
  </si>
  <si>
    <t>https://v20.proteinatlas.org/ENSG00000157500/cell</t>
  </si>
  <si>
    <t>https://v20.proteinatlas.org/ENSG00000143761/cell</t>
  </si>
  <si>
    <t>https://v20.proteinatlas.org/ENSG00000163466/cell</t>
  </si>
  <si>
    <t>https://v20.proteinatlas.org/ENSG00000111229/cell</t>
  </si>
  <si>
    <t>https://v20.proteinatlas.org/ENSG00000066739/cell</t>
  </si>
  <si>
    <t>https://v20.proteinatlas.org/ENSG00000136888/cell</t>
  </si>
  <si>
    <t>https://v20.proteinatlas.org/ENSG00000198604/cell</t>
  </si>
  <si>
    <t>https://v20.proteinatlas.org/ENSG00000101997/cell</t>
  </si>
  <si>
    <t>https://v20.proteinatlas.org/ENSG00000163624/cell</t>
  </si>
  <si>
    <t>https://v20.proteinatlas.org/ENSG00000100162/cell</t>
  </si>
  <si>
    <t>https://v20.proteinatlas.org/ENSG00000174799/cell</t>
  </si>
  <si>
    <t>https://v20.proteinatlas.org/ENSG00000130695/cell</t>
  </si>
  <si>
    <t>https://v20.proteinatlas.org/ENSG00000139624/cell</t>
  </si>
  <si>
    <t>https://v20.proteinatlas.org/ENSG00000172292/cell</t>
  </si>
  <si>
    <t>https://v20.proteinatlas.org/ENSG00000136026/cell</t>
  </si>
  <si>
    <t>https://v20.proteinatlas.org/ENSG00000103249/cell</t>
  </si>
  <si>
    <t>https://v20.proteinatlas.org/ENSG00000104853/cell</t>
  </si>
  <si>
    <t>https://v20.proteinatlas.org/ENSG00000173163/cell</t>
  </si>
  <si>
    <t>https://v20.proteinatlas.org/ENSG00000114744/cell</t>
  </si>
  <si>
    <t>https://v20.proteinatlas.org/ENSG00000184432/cell</t>
  </si>
  <si>
    <t>https://v20.proteinatlas.org/ENSG00000141551/cell</t>
  </si>
  <si>
    <t>https://v20.proteinatlas.org/ENSG00000129562/cell</t>
  </si>
  <si>
    <t>https://v20.proteinatlas.org/ENSG00000167657/cell</t>
  </si>
  <si>
    <t>https://v20.proteinatlas.org/ENSG00000143753/cell</t>
  </si>
  <si>
    <t>https://v20.proteinatlas.org/ENSG00000150990/cell</t>
  </si>
  <si>
    <t>https://v20.proteinatlas.org/ENSG00000254772/cell</t>
  </si>
  <si>
    <t>https://v20.proteinatlas.org/ENSG00000125037/cell</t>
  </si>
  <si>
    <t>https://v20.proteinatlas.org/ENSG00000128463/cell</t>
  </si>
  <si>
    <t>https://v20.proteinatlas.org/ENSG00000134153/cell</t>
  </si>
  <si>
    <t>https://v20.proteinatlas.org/ENSG00000131148/cell</t>
  </si>
  <si>
    <t>https://v20.proteinatlas.org/ENSG00000100908/cell</t>
  </si>
  <si>
    <t>https://v20.proteinatlas.org/ENSG00000160256/cell</t>
  </si>
  <si>
    <t>https://v20.proteinatlas.org/ENSG00000152767/cell</t>
  </si>
  <si>
    <t>https://v20.proteinatlas.org/ENSG00000138678/cell</t>
  </si>
  <si>
    <t>https://v20.proteinatlas.org/ENSG00000081870/cell</t>
  </si>
  <si>
    <t>https://v20.proteinatlas.org/ENSG00000101350/cell</t>
  </si>
  <si>
    <t>https://v20.proteinatlas.org/ENSG00000111057/cell</t>
  </si>
  <si>
    <t>https://v20.proteinatlas.org/ENSG00000074695/cell</t>
  </si>
  <si>
    <t>https://v20.proteinatlas.org/ENSG00000160789/cell</t>
  </si>
  <si>
    <t>https://v20.proteinatlas.org/ENSG00000125505/cell</t>
  </si>
  <si>
    <t>https://v20.proteinatlas.org/ENSG00000161091/cell</t>
  </si>
  <si>
    <t>https://v20.proteinatlas.org/ENSG00000063601/cell</t>
  </si>
  <si>
    <t>https://v20.proteinatlas.org/ENSG00000141971/cell</t>
  </si>
  <si>
    <t>https://v20.proteinatlas.org/ENSG00000196586/cell</t>
  </si>
  <si>
    <t>https://v20.proteinatlas.org/ENSG00000167566/cell</t>
  </si>
  <si>
    <t>https://v20.proteinatlas.org/ENSG00000125912/cell</t>
  </si>
  <si>
    <t>https://v20.proteinatlas.org/ENSG00000145912/cell</t>
  </si>
  <si>
    <t>https://v20.proteinatlas.org/ENSG00000182117/cell</t>
  </si>
  <si>
    <t>https://v20.proteinatlas.org/ENSG00000108256/cell</t>
  </si>
  <si>
    <t>https://v20.proteinatlas.org/ENSG00000111581/cell</t>
  </si>
  <si>
    <t>https://v20.proteinatlas.org/ENSG00000126883/cell</t>
  </si>
  <si>
    <t>https://v20.proteinatlas.org/ENSG00000110713/cell</t>
  </si>
  <si>
    <t>https://v20.proteinatlas.org/ENSG00000276045/cell</t>
  </si>
  <si>
    <t>https://v20.proteinatlas.org/ENSG00000164040/cell</t>
  </si>
  <si>
    <t>https://v20.proteinatlas.org/ENSG00000241973/cell</t>
  </si>
  <si>
    <t>https://v20.proteinatlas.org/ENSG00000105647/cell</t>
  </si>
  <si>
    <t>https://v20.proteinatlas.org/ENSG00000276293/cell</t>
  </si>
  <si>
    <t>https://v20.proteinatlas.org/ENSG00000171453/cell</t>
  </si>
  <si>
    <t>https://v20.proteinatlas.org/ENSG00000132356/cell</t>
  </si>
  <si>
    <t>https://v20.proteinatlas.org/ENSG00000163636/cell</t>
  </si>
  <si>
    <t>https://v20.proteinatlas.org/ENSG00000123595/cell</t>
  </si>
  <si>
    <t>https://v20.proteinatlas.org/ENSG00000132563/cell</t>
  </si>
  <si>
    <t>https://v20.proteinatlas.org/ENSG00000168476/cell</t>
  </si>
  <si>
    <t>https://v20.proteinatlas.org/ENSG00000142676/cell</t>
  </si>
  <si>
    <t>https://v20.proteinatlas.org/ENSG00000197747/cell</t>
  </si>
  <si>
    <t>https://v20.proteinatlas.org/ENSG00000110911/cell</t>
  </si>
  <si>
    <t>https://v20.proteinatlas.org/ENSG00000139370/cell</t>
  </si>
  <si>
    <t>https://v20.proteinatlas.org/ENSG00000079215/cell</t>
  </si>
  <si>
    <t>https://v20.proteinatlas.org/ENSG00000225697/cell</t>
  </si>
  <si>
    <t>https://v20.proteinatlas.org/ENSG00000169359/cell</t>
  </si>
  <si>
    <t>https://v20.proteinatlas.org/ENSG00000110660/cell</t>
  </si>
  <si>
    <t>https://v20.proteinatlas.org/ENSG00000125743/cell</t>
  </si>
  <si>
    <t>https://v20.proteinatlas.org/ENSG00000002919/cell</t>
  </si>
  <si>
    <t>https://v20.proteinatlas.org/ENSG00000143376/cell</t>
  </si>
  <si>
    <t>https://v20.proteinatlas.org/ENSG00000021574/cell</t>
  </si>
  <si>
    <t>https://v20.proteinatlas.org/ENSG00000100596/cell</t>
  </si>
  <si>
    <t>https://v20.proteinatlas.org/ENSG00000100883/cell</t>
  </si>
  <si>
    <t>https://v20.proteinatlas.org/ENSG00000144867/cell</t>
  </si>
  <si>
    <t>https://v20.proteinatlas.org/ENSG00000134910/cell</t>
  </si>
  <si>
    <t>https://v20.proteinatlas.org/ENSG00000168818/cell</t>
  </si>
  <si>
    <t>https://v20.proteinatlas.org/ENSG00000162298/cell</t>
  </si>
  <si>
    <t>https://v20.proteinatlas.org/ENSG00000147601/cell</t>
  </si>
  <si>
    <t>https://v20.proteinatlas.org/ENSG00000213585/cell</t>
  </si>
  <si>
    <t>https://v20.proteinatlas.org/ENSG00000139719/cell</t>
  </si>
  <si>
    <t>https://v20.proteinatlas.org/ENSG00000156931/cell</t>
  </si>
  <si>
    <t>https://v20.proteinatlas.org/ENSG00000115368/cell</t>
  </si>
  <si>
    <t>https://v20.proteinatlas.org/ENSG00000119523/cell</t>
  </si>
  <si>
    <t>https://v20.proteinatlas.org/ENSG00000139645/cell</t>
  </si>
  <si>
    <t>https://v20.proteinatlas.org/ENSG00000078061/cell</t>
  </si>
  <si>
    <t>https://v20.proteinatlas.org/ENSG00000185344/cell</t>
  </si>
  <si>
    <t>https://v20.proteinatlas.org/ENSG00000198668/cell</t>
  </si>
  <si>
    <t>https://v20.proteinatlas.org/ENSG00000136279/cell</t>
  </si>
  <si>
    <t>https://v20.proteinatlas.org/ENSG00000106976/cell</t>
  </si>
  <si>
    <t>https://v20.proteinatlas.org/ENSG00000133935/cell</t>
  </si>
  <si>
    <t>https://v20.proteinatlas.org/ENSG00000082701/cell</t>
  </si>
  <si>
    <t>https://v20.proteinatlas.org/ENSG00000152413/cell</t>
  </si>
  <si>
    <t>https://v20.proteinatlas.org/ENSG00000165868/cell</t>
  </si>
  <si>
    <t>https://v20.proteinatlas.org/ENSG00000040933/cell</t>
  </si>
  <si>
    <t>https://v20.proteinatlas.org/ENSG00000137171/cell</t>
  </si>
  <si>
    <t>https://v20.proteinatlas.org/ENSG00000101608/cell</t>
  </si>
  <si>
    <t>https://v20.proteinatlas.org/ENSG00000118680/cell</t>
  </si>
  <si>
    <t>https://v20.proteinatlas.org/ENSG00000196465/cell</t>
  </si>
  <si>
    <t>https://v20.proteinatlas.org/ENSG00000143228/cell</t>
  </si>
  <si>
    <t>https://v20.proteinatlas.org/ENSG00000019144/cell</t>
  </si>
  <si>
    <t>https://v20.proteinatlas.org/ENSG00000166908/cell</t>
  </si>
  <si>
    <t>https://v20.proteinatlas.org/ENSG00000169228/cell</t>
  </si>
  <si>
    <t>https://v20.proteinatlas.org/ENSG00000105404/cell</t>
  </si>
  <si>
    <t>https://v20.proteinatlas.org/ENSG00000100949/cell</t>
  </si>
  <si>
    <t>https://v20.proteinatlas.org/ENSG00000144840/cell</t>
  </si>
  <si>
    <t>https://v20.proteinatlas.org/ENSG00000092108/cell</t>
  </si>
  <si>
    <t>https://v20.proteinatlas.org/ENSG00000171475/cell</t>
  </si>
  <si>
    <t>https://v20.proteinatlas.org/ENSG00000169692/cell</t>
  </si>
  <si>
    <t>https://v20.proteinatlas.org/ENSG00000161618/cell</t>
  </si>
  <si>
    <t>https://v20.proteinatlas.org/ENSG00000110497/cell</t>
  </si>
  <si>
    <t>https://v20.proteinatlas.org/ENSG00000088448/cell</t>
  </si>
  <si>
    <t>https://v20.proteinatlas.org/ENSG00000186106/cell</t>
  </si>
  <si>
    <t>https://v20.proteinatlas.org/ENSG00000160007/cell</t>
  </si>
  <si>
    <t>https://v20.proteinatlas.org/ENSG00000241484/cell</t>
  </si>
  <si>
    <t>https://v20.proteinatlas.org/ENSG00000179933/cell</t>
  </si>
  <si>
    <t>https://v20.proteinatlas.org/ENSG00000171159/cell</t>
  </si>
  <si>
    <t>https://v20.proteinatlas.org/ENSG00000103502/cell</t>
  </si>
  <si>
    <t>https://v20.proteinatlas.org/ENSG00000147889/cell</t>
  </si>
  <si>
    <t>https://v20.proteinatlas.org/ENSG00000175029/cell</t>
  </si>
  <si>
    <t>https://v20.proteinatlas.org/ENSG00000035499/cell</t>
  </si>
  <si>
    <t>https://v20.proteinatlas.org/ENSG00000135924/cell</t>
  </si>
  <si>
    <t>https://v20.proteinatlas.org/ENSG00000170464/cell</t>
  </si>
  <si>
    <t>https://v20.proteinatlas.org/ENSG00000147251/cell</t>
  </si>
  <si>
    <t>https://v20.proteinatlas.org/ENSG00000228300/cell</t>
  </si>
  <si>
    <t>https://v20.proteinatlas.org/ENSG00000167996/cell</t>
  </si>
  <si>
    <t>https://v20.proteinatlas.org/ENSG00000203879/cell</t>
  </si>
  <si>
    <t>https://v20.proteinatlas.org/ENSG00000173020/cell</t>
  </si>
  <si>
    <t>https://v20.proteinatlas.org/ENSG00000163754/cell</t>
  </si>
  <si>
    <t>https://v20.proteinatlas.org/ENSG00000092931/cell</t>
  </si>
  <si>
    <t>https://v20.proteinatlas.org/ENSG00000119638/cell</t>
  </si>
  <si>
    <t>https://v20.proteinatlas.org/ENSG00000170248/cell</t>
  </si>
  <si>
    <t>https://v20.proteinatlas.org/ENSG00000123143/cell</t>
  </si>
  <si>
    <t>https://v20.proteinatlas.org/ENSG00000136933/cell</t>
  </si>
  <si>
    <t>https://v20.proteinatlas.org/ENSG00000137955/cell</t>
  </si>
  <si>
    <t>https://v20.proteinatlas.org/ENSG00000183155/cell</t>
  </si>
  <si>
    <t>https://v20.proteinatlas.org/ENSG00000132155/cell</t>
  </si>
  <si>
    <t>https://v20.proteinatlas.org/ENSG00000129657/cell</t>
  </si>
  <si>
    <t>https://v20.proteinatlas.org/ENSG00000169371/cell</t>
  </si>
  <si>
    <t>https://v20.proteinatlas.org/ENSG00000118046/cell</t>
  </si>
  <si>
    <t>Required for vesicle formation at Golgi PMID: 12107180; organellar localization reported in PMID: 27278775</t>
  </si>
  <si>
    <t xml:space="preserve">Cytoplasmic: PMID: 27278775; main localization expected in cytoplasm PMID: 26891695 ; not annotated in nucleolar proteome PMID: 15635413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</si>
</sst>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2"/>
      <color rgb="FF000000"/>
      <name val="Helvetica"/>
      <family val="2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u/>
      <sz val="12"/>
      <color theme="8" tint="-0.249977111117893"/>
      <name val="Helvetica"/>
      <family val="2"/>
    </font>
    <font>
      <b/>
      <sz val="12"/>
      <color theme="1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0" fillId="0" borderId="0" xfId="0" applyAlignment="1"/>
    <xf numFmtId="0" fontId="20" fillId="34" borderId="0" xfId="0" applyFont="1" applyFill="1"/>
    <xf numFmtId="0" fontId="21" fillId="33" borderId="0" xfId="0" applyFont="1" applyFill="1"/>
    <xf numFmtId="0" fontId="22" fillId="33" borderId="0" xfId="0" applyFont="1" applyFill="1" applyBorder="1"/>
    <xf numFmtId="0" fontId="21" fillId="0" borderId="0" xfId="0" applyFont="1"/>
    <xf numFmtId="0" fontId="21" fillId="0" borderId="0" xfId="0" applyFont="1" applyAlignment="1"/>
    <xf numFmtId="0" fontId="21" fillId="0" borderId="0" xfId="0" applyFont="1" applyFill="1"/>
    <xf numFmtId="0" fontId="23" fillId="0" borderId="0" xfId="42" applyFont="1"/>
    <xf numFmtId="0" fontId="24" fillId="0" borderId="0" xfId="0" applyFont="1"/>
    <xf numFmtId="0" fontId="24" fillId="0" borderId="0" xfId="0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8"/>
  <sheetViews>
    <sheetView tabSelected="1" zoomScale="110" zoomScaleNormal="110" workbookViewId="0">
      <selection activeCell="E8" sqref="E8"/>
    </sheetView>
  </sheetViews>
  <sheetFormatPr baseColWidth="10" defaultRowHeight="16" x14ac:dyDescent="0.2"/>
  <cols>
    <col min="1" max="16384" width="10.83203125" style="4"/>
  </cols>
  <sheetData>
    <row r="2" spans="2:2" x14ac:dyDescent="0.2">
      <c r="B2" s="3" t="s">
        <v>825</v>
      </c>
    </row>
    <row r="4" spans="2:2" x14ac:dyDescent="0.2">
      <c r="B4" s="5" t="s">
        <v>828</v>
      </c>
    </row>
    <row r="5" spans="2:2" x14ac:dyDescent="0.2">
      <c r="B5" s="5" t="s">
        <v>829</v>
      </c>
    </row>
    <row r="6" spans="2:2" x14ac:dyDescent="0.2">
      <c r="B6" s="5" t="s">
        <v>826</v>
      </c>
    </row>
    <row r="7" spans="2:2" x14ac:dyDescent="0.2">
      <c r="B7" s="5" t="s">
        <v>827</v>
      </c>
    </row>
    <row r="8" spans="2:2" x14ac:dyDescent="0.2">
      <c r="B8" s="4" t="s">
        <v>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8"/>
  <sheetViews>
    <sheetView topLeftCell="A94" workbookViewId="0">
      <selection activeCell="A115" sqref="A115"/>
    </sheetView>
  </sheetViews>
  <sheetFormatPr baseColWidth="10" defaultRowHeight="16" x14ac:dyDescent="0.2"/>
  <cols>
    <col min="1" max="1" width="13.5" customWidth="1"/>
    <col min="2" max="2" width="19.33203125" customWidth="1"/>
    <col min="3" max="3" width="27.5" bestFit="1" customWidth="1"/>
    <col min="7" max="7" width="25.5" bestFit="1" customWidth="1"/>
    <col min="8" max="8" width="93.33203125" style="2" customWidth="1"/>
    <col min="9" max="9" width="36.5" hidden="1" customWidth="1"/>
    <col min="10" max="10" width="46.6640625" hidden="1" customWidth="1"/>
    <col min="11" max="11" width="38" hidden="1" customWidth="1"/>
    <col min="12" max="14" width="30.83203125" style="1" customWidth="1"/>
  </cols>
  <sheetData>
    <row r="1" spans="1:14" x14ac:dyDescent="0.2">
      <c r="A1" s="10" t="s">
        <v>823</v>
      </c>
      <c r="B1" s="10" t="s">
        <v>824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5</v>
      </c>
      <c r="H1" s="11" t="s">
        <v>4</v>
      </c>
      <c r="I1" s="10" t="s">
        <v>526</v>
      </c>
      <c r="J1" s="10" t="s">
        <v>524</v>
      </c>
      <c r="K1" s="10" t="s">
        <v>525</v>
      </c>
      <c r="L1" s="10" t="s">
        <v>526</v>
      </c>
      <c r="M1" s="10" t="s">
        <v>524</v>
      </c>
      <c r="N1" s="10" t="s">
        <v>525</v>
      </c>
    </row>
    <row r="2" spans="1:14" x14ac:dyDescent="0.2">
      <c r="A2" s="6" t="s">
        <v>6</v>
      </c>
      <c r="B2" s="6" t="s">
        <v>7</v>
      </c>
      <c r="C2" s="6" t="s">
        <v>8</v>
      </c>
      <c r="D2" s="6"/>
      <c r="E2" s="6" t="s">
        <v>9</v>
      </c>
      <c r="F2" s="6"/>
      <c r="G2" s="6" t="s">
        <v>11</v>
      </c>
      <c r="H2" s="7" t="s">
        <v>10</v>
      </c>
      <c r="I2" s="8" t="s">
        <v>527</v>
      </c>
      <c r="J2" s="8" t="s">
        <v>837</v>
      </c>
      <c r="K2" s="6" t="s">
        <v>528</v>
      </c>
      <c r="L2" s="9" t="str">
        <f t="shared" ref="L2:L33" si="0">HYPERLINK(I2)</f>
        <v>https://opencell.czbiohub.org/target/348</v>
      </c>
      <c r="M2" s="9" t="str">
        <f t="shared" ref="M2:M33" si="1">HYPERLINK(J2)</f>
        <v>https://v20.proteinatlas.org/ENSG00000111666/cell</v>
      </c>
      <c r="N2" s="9" t="str">
        <f t="shared" ref="N2:N33" si="2">HYPERLINK(K2)</f>
        <v>https://www.uniprot.org/uniprot/Q8WUD6</v>
      </c>
    </row>
    <row r="3" spans="1:14" x14ac:dyDescent="0.2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/>
      <c r="G3" s="6" t="s">
        <v>11</v>
      </c>
      <c r="H3" s="7" t="s">
        <v>17</v>
      </c>
      <c r="I3" s="6" t="s">
        <v>529</v>
      </c>
      <c r="J3" s="8" t="s">
        <v>838</v>
      </c>
      <c r="K3" s="6" t="s">
        <v>530</v>
      </c>
      <c r="L3" s="9" t="str">
        <f t="shared" si="0"/>
        <v>https://opencell.czbiohub.org/target/886</v>
      </c>
      <c r="M3" s="9" t="str">
        <f t="shared" si="1"/>
        <v>https://v20.proteinatlas.org/ENSG00000147065/cell</v>
      </c>
      <c r="N3" s="9" t="str">
        <f t="shared" si="2"/>
        <v>https://www.uniprot.org/uniprot/P26038</v>
      </c>
    </row>
    <row r="4" spans="1:14" x14ac:dyDescent="0.2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/>
      <c r="G4" s="6" t="s">
        <v>24</v>
      </c>
      <c r="H4" s="7" t="s">
        <v>23</v>
      </c>
      <c r="I4" s="6" t="s">
        <v>531</v>
      </c>
      <c r="J4" s="6" t="s">
        <v>839</v>
      </c>
      <c r="K4" s="6" t="s">
        <v>532</v>
      </c>
      <c r="L4" s="9" t="str">
        <f t="shared" si="0"/>
        <v>https://opencell.czbiohub.org/target/505</v>
      </c>
      <c r="M4" s="9" t="str">
        <f t="shared" si="1"/>
        <v>https://v20.proteinatlas.org/ENSG00000138071/cell</v>
      </c>
      <c r="N4" s="9" t="str">
        <f t="shared" si="2"/>
        <v>https://www.uniprot.org/uniprot/P61160</v>
      </c>
    </row>
    <row r="5" spans="1:14" x14ac:dyDescent="0.2">
      <c r="A5" s="6" t="s">
        <v>25</v>
      </c>
      <c r="B5" s="6" t="s">
        <v>26</v>
      </c>
      <c r="C5" s="6" t="s">
        <v>27</v>
      </c>
      <c r="D5" s="6"/>
      <c r="E5" s="6" t="s">
        <v>22</v>
      </c>
      <c r="F5" s="6"/>
      <c r="G5" s="6" t="s">
        <v>24</v>
      </c>
      <c r="H5" s="7" t="s">
        <v>28</v>
      </c>
      <c r="I5" s="6" t="s">
        <v>533</v>
      </c>
      <c r="J5" s="6" t="s">
        <v>840</v>
      </c>
      <c r="K5" s="6" t="s">
        <v>534</v>
      </c>
      <c r="L5" s="9" t="str">
        <f t="shared" si="0"/>
        <v>https://opencell.czbiohub.org/target/1399</v>
      </c>
      <c r="M5" s="9" t="str">
        <f t="shared" si="1"/>
        <v>https://v20.proteinatlas.org/ENSG00000105186/cell</v>
      </c>
      <c r="N5" s="9" t="str">
        <f t="shared" si="2"/>
        <v>https://www.uniprot.org/uniprot/Q96NW4</v>
      </c>
    </row>
    <row r="6" spans="1:14" x14ac:dyDescent="0.2">
      <c r="A6" s="6" t="s">
        <v>29</v>
      </c>
      <c r="B6" s="6" t="s">
        <v>30</v>
      </c>
      <c r="C6" s="6" t="s">
        <v>31</v>
      </c>
      <c r="D6" s="6"/>
      <c r="E6" s="6" t="s">
        <v>32</v>
      </c>
      <c r="F6" s="6"/>
      <c r="G6" s="6" t="s">
        <v>24</v>
      </c>
      <c r="H6" s="7" t="s">
        <v>33</v>
      </c>
      <c r="I6" s="6" t="s">
        <v>535</v>
      </c>
      <c r="J6" s="6" t="s">
        <v>841</v>
      </c>
      <c r="K6" s="6" t="s">
        <v>536</v>
      </c>
      <c r="L6" s="9" t="str">
        <f t="shared" si="0"/>
        <v>https://opencell.czbiohub.org/target/504</v>
      </c>
      <c r="M6" s="9" t="str">
        <f t="shared" si="1"/>
        <v>https://v20.proteinatlas.org/ENSG00000157500/cell</v>
      </c>
      <c r="N6" s="9" t="str">
        <f t="shared" si="2"/>
        <v>https://www.uniprot.org/uniprot/Q9UKG1</v>
      </c>
    </row>
    <row r="7" spans="1:14" x14ac:dyDescent="0.2">
      <c r="A7" s="6" t="s">
        <v>34</v>
      </c>
      <c r="B7" s="6" t="s">
        <v>35</v>
      </c>
      <c r="C7" s="6" t="s">
        <v>36</v>
      </c>
      <c r="D7" s="6" t="s">
        <v>21</v>
      </c>
      <c r="E7" s="6" t="s">
        <v>22</v>
      </c>
      <c r="F7" s="6" t="s">
        <v>16</v>
      </c>
      <c r="G7" s="6" t="s">
        <v>24</v>
      </c>
      <c r="H7" s="7" t="s">
        <v>37</v>
      </c>
      <c r="I7" s="6" t="s">
        <v>537</v>
      </c>
      <c r="J7" s="6" t="s">
        <v>842</v>
      </c>
      <c r="K7" s="6" t="s">
        <v>538</v>
      </c>
      <c r="L7" s="9" t="str">
        <f t="shared" si="0"/>
        <v>https://opencell.czbiohub.org/target/653</v>
      </c>
      <c r="M7" s="9" t="str">
        <f t="shared" si="1"/>
        <v>https://v20.proteinatlas.org/ENSG00000143761/cell</v>
      </c>
      <c r="N7" s="9" t="str">
        <f t="shared" si="2"/>
        <v>https://www.uniprot.org/uniprot/P84077</v>
      </c>
    </row>
    <row r="8" spans="1:14" x14ac:dyDescent="0.2">
      <c r="A8" s="6" t="s">
        <v>38</v>
      </c>
      <c r="B8" s="6" t="s">
        <v>39</v>
      </c>
      <c r="C8" s="6" t="s">
        <v>40</v>
      </c>
      <c r="D8" s="6"/>
      <c r="E8" s="6" t="s">
        <v>41</v>
      </c>
      <c r="F8" s="6"/>
      <c r="G8" s="6" t="s">
        <v>24</v>
      </c>
      <c r="H8" s="7" t="s">
        <v>42</v>
      </c>
      <c r="I8" s="6" t="s">
        <v>539</v>
      </c>
      <c r="J8" s="6" t="s">
        <v>843</v>
      </c>
      <c r="K8" s="6" t="s">
        <v>540</v>
      </c>
      <c r="L8" s="9" t="str">
        <f t="shared" si="0"/>
        <v>https://opencell.czbiohub.org/target/1775</v>
      </c>
      <c r="M8" s="9" t="str">
        <f t="shared" si="1"/>
        <v>https://v20.proteinatlas.org/ENSG00000163466/cell</v>
      </c>
      <c r="N8" s="9" t="str">
        <f t="shared" si="2"/>
        <v>https://www.uniprot.org/uniprot/O15144</v>
      </c>
    </row>
    <row r="9" spans="1:14" x14ac:dyDescent="0.2">
      <c r="A9" s="6" t="s">
        <v>43</v>
      </c>
      <c r="B9" s="6" t="s">
        <v>44</v>
      </c>
      <c r="C9" s="6" t="s">
        <v>45</v>
      </c>
      <c r="D9" s="6" t="s">
        <v>15</v>
      </c>
      <c r="E9" s="6" t="s">
        <v>41</v>
      </c>
      <c r="F9" s="6"/>
      <c r="G9" s="6" t="s">
        <v>24</v>
      </c>
      <c r="H9" s="7" t="s">
        <v>46</v>
      </c>
      <c r="I9" s="6" t="s">
        <v>541</v>
      </c>
      <c r="J9" s="6" t="s">
        <v>844</v>
      </c>
      <c r="K9" s="6" t="s">
        <v>542</v>
      </c>
      <c r="L9" s="9" t="str">
        <f t="shared" si="0"/>
        <v>https://opencell.czbiohub.org/target/508</v>
      </c>
      <c r="M9" s="9" t="str">
        <f t="shared" si="1"/>
        <v>https://v20.proteinatlas.org/ENSG00000111229/cell</v>
      </c>
      <c r="N9" s="9" t="str">
        <f t="shared" si="2"/>
        <v>https://www.uniprot.org/uniprot/O15145</v>
      </c>
    </row>
    <row r="10" spans="1:14" x14ac:dyDescent="0.2">
      <c r="A10" s="6" t="s">
        <v>327</v>
      </c>
      <c r="B10" s="6" t="s">
        <v>328</v>
      </c>
      <c r="C10" s="6" t="s">
        <v>31</v>
      </c>
      <c r="D10" s="6"/>
      <c r="E10" s="6" t="s">
        <v>41</v>
      </c>
      <c r="F10" s="6"/>
      <c r="G10" s="6" t="s">
        <v>24</v>
      </c>
      <c r="H10" s="7" t="s">
        <v>329</v>
      </c>
      <c r="I10" s="6" t="s">
        <v>702</v>
      </c>
      <c r="J10" s="6" t="s">
        <v>845</v>
      </c>
      <c r="K10" s="6" t="s">
        <v>703</v>
      </c>
      <c r="L10" s="9" t="str">
        <f t="shared" si="0"/>
        <v>https://opencell.czbiohub.org/target/1815</v>
      </c>
      <c r="M10" s="9" t="str">
        <f t="shared" si="1"/>
        <v>https://v20.proteinatlas.org/ENSG00000066739/cell</v>
      </c>
      <c r="N10" s="9" t="str">
        <f t="shared" si="2"/>
        <v>https://www.uniprot.org/uniprot/Q96BY7</v>
      </c>
    </row>
    <row r="11" spans="1:14" x14ac:dyDescent="0.2">
      <c r="A11" s="6" t="s">
        <v>47</v>
      </c>
      <c r="B11" s="6" t="s">
        <v>48</v>
      </c>
      <c r="C11" s="6" t="s">
        <v>49</v>
      </c>
      <c r="D11" s="6" t="s">
        <v>15</v>
      </c>
      <c r="E11" s="6" t="s">
        <v>50</v>
      </c>
      <c r="F11" s="6" t="s">
        <v>41</v>
      </c>
      <c r="G11" s="6" t="s">
        <v>24</v>
      </c>
      <c r="H11" s="7" t="s">
        <v>51</v>
      </c>
      <c r="I11" s="6" t="s">
        <v>543</v>
      </c>
      <c r="J11" s="6" t="s">
        <v>846</v>
      </c>
      <c r="K11" s="6" t="s">
        <v>544</v>
      </c>
      <c r="L11" s="9" t="str">
        <f t="shared" si="0"/>
        <v>https://opencell.czbiohub.org/target/1651</v>
      </c>
      <c r="M11" s="9" t="str">
        <f t="shared" si="1"/>
        <v>https://v20.proteinatlas.org/ENSG00000136888/cell</v>
      </c>
      <c r="N11" s="9" t="str">
        <f t="shared" si="2"/>
        <v>https://www.uniprot.org/uniprot/O75348</v>
      </c>
    </row>
    <row r="12" spans="1:14" x14ac:dyDescent="0.2">
      <c r="A12" s="6" t="s">
        <v>52</v>
      </c>
      <c r="B12" s="6" t="s">
        <v>53</v>
      </c>
      <c r="C12" s="6" t="s">
        <v>54</v>
      </c>
      <c r="D12" s="6"/>
      <c r="E12" s="6" t="s">
        <v>55</v>
      </c>
      <c r="F12" s="6"/>
      <c r="G12" s="6" t="s">
        <v>24</v>
      </c>
      <c r="H12" s="7" t="s">
        <v>56</v>
      </c>
      <c r="I12" s="6" t="s">
        <v>545</v>
      </c>
      <c r="J12" s="6" t="s">
        <v>847</v>
      </c>
      <c r="K12" s="6" t="s">
        <v>546</v>
      </c>
      <c r="L12" s="9" t="str">
        <f t="shared" si="0"/>
        <v>https://opencell.czbiohub.org/target/1130</v>
      </c>
      <c r="M12" s="9" t="str">
        <f t="shared" si="1"/>
        <v>https://v20.proteinatlas.org/ENSG00000198604/cell</v>
      </c>
      <c r="N12" s="9" t="str">
        <f t="shared" si="2"/>
        <v>https://www.uniprot.org/uniprot/Q9NRL2</v>
      </c>
    </row>
    <row r="13" spans="1:14" x14ac:dyDescent="0.2">
      <c r="A13" s="6" t="s">
        <v>57</v>
      </c>
      <c r="B13" s="6" t="s">
        <v>58</v>
      </c>
      <c r="C13" s="6" t="s">
        <v>27</v>
      </c>
      <c r="D13" s="6"/>
      <c r="E13" s="6" t="s">
        <v>59</v>
      </c>
      <c r="F13" s="6"/>
      <c r="G13" s="6" t="s">
        <v>24</v>
      </c>
      <c r="H13" s="7" t="s">
        <v>60</v>
      </c>
      <c r="I13" s="6" t="s">
        <v>547</v>
      </c>
      <c r="J13" s="6" t="s">
        <v>848</v>
      </c>
      <c r="K13" s="6" t="s">
        <v>548</v>
      </c>
      <c r="L13" s="9" t="str">
        <f t="shared" si="0"/>
        <v>https://opencell.czbiohub.org/target/262</v>
      </c>
      <c r="M13" s="9" t="str">
        <f t="shared" si="1"/>
        <v>https://v20.proteinatlas.org/ENSG00000101997/cell</v>
      </c>
      <c r="N13" s="9" t="str">
        <f t="shared" si="2"/>
        <v>https://www.uniprot.org/uniprot/O60826</v>
      </c>
    </row>
    <row r="14" spans="1:14" x14ac:dyDescent="0.2">
      <c r="A14" s="6" t="s">
        <v>61</v>
      </c>
      <c r="B14" s="6" t="s">
        <v>62</v>
      </c>
      <c r="C14" s="6" t="s">
        <v>63</v>
      </c>
      <c r="D14" s="6"/>
      <c r="E14" s="6" t="s">
        <v>41</v>
      </c>
      <c r="F14" s="6" t="s">
        <v>64</v>
      </c>
      <c r="G14" s="6" t="s">
        <v>24</v>
      </c>
      <c r="H14" s="7" t="s">
        <v>65</v>
      </c>
      <c r="I14" s="6" t="s">
        <v>549</v>
      </c>
      <c r="J14" s="6" t="s">
        <v>849</v>
      </c>
      <c r="K14" s="6" t="s">
        <v>550</v>
      </c>
      <c r="L14" s="9" t="str">
        <f t="shared" si="0"/>
        <v>https://opencell.czbiohub.org/target/344</v>
      </c>
      <c r="M14" s="9" t="str">
        <f t="shared" si="1"/>
        <v>https://v20.proteinatlas.org/ENSG00000163624/cell</v>
      </c>
      <c r="N14" s="9" t="str">
        <f t="shared" si="2"/>
        <v>https://www.uniprot.org/uniprot/Q92903</v>
      </c>
    </row>
    <row r="15" spans="1:14" x14ac:dyDescent="0.2">
      <c r="A15" s="6" t="s">
        <v>66</v>
      </c>
      <c r="B15" s="6" t="s">
        <v>67</v>
      </c>
      <c r="C15" s="6" t="s">
        <v>68</v>
      </c>
      <c r="D15" s="6"/>
      <c r="E15" s="6" t="s">
        <v>22</v>
      </c>
      <c r="F15" s="6"/>
      <c r="G15" s="6" t="s">
        <v>24</v>
      </c>
      <c r="H15" s="7" t="s">
        <v>69</v>
      </c>
      <c r="I15" s="6" t="s">
        <v>551</v>
      </c>
      <c r="J15" s="6" t="s">
        <v>850</v>
      </c>
      <c r="K15" s="6" t="s">
        <v>552</v>
      </c>
      <c r="L15" s="9" t="str">
        <f t="shared" si="0"/>
        <v>https://opencell.czbiohub.org/target/926</v>
      </c>
      <c r="M15" s="9" t="str">
        <f t="shared" si="1"/>
        <v>https://v20.proteinatlas.org/ENSG00000100162/cell</v>
      </c>
      <c r="N15" s="9" t="str">
        <f t="shared" si="2"/>
        <v>https://www.uniprot.org/uniprot/Q9NSP4</v>
      </c>
    </row>
    <row r="16" spans="1:14" x14ac:dyDescent="0.2">
      <c r="A16" s="6" t="s">
        <v>70</v>
      </c>
      <c r="B16" s="6" t="s">
        <v>71</v>
      </c>
      <c r="C16" s="6" t="s">
        <v>72</v>
      </c>
      <c r="D16" s="6"/>
      <c r="E16" s="6" t="s">
        <v>73</v>
      </c>
      <c r="F16" s="6"/>
      <c r="G16" s="6" t="s">
        <v>24</v>
      </c>
      <c r="H16" s="7" t="s">
        <v>74</v>
      </c>
      <c r="I16" s="6" t="s">
        <v>553</v>
      </c>
      <c r="J16" s="6" t="s">
        <v>851</v>
      </c>
      <c r="K16" s="6" t="s">
        <v>554</v>
      </c>
      <c r="L16" s="9" t="str">
        <f t="shared" si="0"/>
        <v>https://opencell.czbiohub.org/target/202</v>
      </c>
      <c r="M16" s="9" t="str">
        <f t="shared" si="1"/>
        <v>https://v20.proteinatlas.org/ENSG00000174799/cell</v>
      </c>
      <c r="N16" s="9" t="str">
        <f t="shared" si="2"/>
        <v>https://www.uniprot.org/uniprot/Q66GS9</v>
      </c>
    </row>
    <row r="17" spans="1:14" x14ac:dyDescent="0.2">
      <c r="A17" s="6" t="s">
        <v>75</v>
      </c>
      <c r="B17" s="6" t="s">
        <v>76</v>
      </c>
      <c r="C17" s="6" t="s">
        <v>72</v>
      </c>
      <c r="D17" s="6" t="s">
        <v>21</v>
      </c>
      <c r="E17" s="6" t="s">
        <v>77</v>
      </c>
      <c r="F17" s="6" t="s">
        <v>78</v>
      </c>
      <c r="G17" s="6" t="s">
        <v>24</v>
      </c>
      <c r="H17" s="7" t="s">
        <v>79</v>
      </c>
      <c r="I17" s="6" t="s">
        <v>555</v>
      </c>
      <c r="J17" s="6" t="s">
        <v>852</v>
      </c>
      <c r="K17" s="6" t="s">
        <v>556</v>
      </c>
      <c r="L17" s="9" t="str">
        <f t="shared" si="0"/>
        <v>https://opencell.czbiohub.org/target/194</v>
      </c>
      <c r="M17" s="9" t="str">
        <f t="shared" si="1"/>
        <v>https://v20.proteinatlas.org/ENSG00000130695/cell</v>
      </c>
      <c r="N17" s="9" t="str">
        <f t="shared" si="2"/>
        <v>https://www.uniprot.org/uniprot/Q6P2H3</v>
      </c>
    </row>
    <row r="18" spans="1:14" x14ac:dyDescent="0.2">
      <c r="A18" s="6" t="s">
        <v>80</v>
      </c>
      <c r="B18" s="6" t="s">
        <v>81</v>
      </c>
      <c r="C18" s="6" t="s">
        <v>63</v>
      </c>
      <c r="D18" s="6"/>
      <c r="E18" s="6" t="s">
        <v>82</v>
      </c>
      <c r="F18" s="6"/>
      <c r="G18" s="6" t="s">
        <v>24</v>
      </c>
      <c r="H18" s="7" t="s">
        <v>83</v>
      </c>
      <c r="I18" s="6" t="s">
        <v>557</v>
      </c>
      <c r="J18" s="6" t="s">
        <v>853</v>
      </c>
      <c r="K18" s="6" t="s">
        <v>558</v>
      </c>
      <c r="L18" s="9" t="str">
        <f t="shared" si="0"/>
        <v>https://opencell.czbiohub.org/target/1883</v>
      </c>
      <c r="M18" s="9" t="str">
        <f t="shared" si="1"/>
        <v>https://v20.proteinatlas.org/ENSG00000139624/cell</v>
      </c>
      <c r="N18" s="9" t="str">
        <f t="shared" si="2"/>
        <v>https://www.uniprot.org/uniprot/Q8N5B7</v>
      </c>
    </row>
    <row r="19" spans="1:14" x14ac:dyDescent="0.2">
      <c r="A19" s="6" t="s">
        <v>84</v>
      </c>
      <c r="B19" s="6" t="s">
        <v>85</v>
      </c>
      <c r="C19" s="6" t="s">
        <v>63</v>
      </c>
      <c r="D19" s="6"/>
      <c r="E19" s="6" t="s">
        <v>41</v>
      </c>
      <c r="F19" s="6" t="s">
        <v>22</v>
      </c>
      <c r="G19" s="6" t="s">
        <v>24</v>
      </c>
      <c r="H19" s="7" t="s">
        <v>86</v>
      </c>
      <c r="I19" s="6" t="s">
        <v>559</v>
      </c>
      <c r="J19" s="6" t="s">
        <v>854</v>
      </c>
      <c r="K19" s="6" t="s">
        <v>560</v>
      </c>
      <c r="L19" s="9" t="str">
        <f t="shared" si="0"/>
        <v>https://opencell.czbiohub.org/target/1010</v>
      </c>
      <c r="M19" s="9" t="str">
        <f t="shared" si="1"/>
        <v>https://v20.proteinatlas.org/ENSG00000172292/cell</v>
      </c>
      <c r="N19" s="9" t="str">
        <f t="shared" si="2"/>
        <v>https://www.uniprot.org/uniprot/Q6ZMG9</v>
      </c>
    </row>
    <row r="20" spans="1:14" x14ac:dyDescent="0.2">
      <c r="A20" s="6" t="s">
        <v>87</v>
      </c>
      <c r="B20" s="6" t="s">
        <v>88</v>
      </c>
      <c r="C20" s="6" t="s">
        <v>63</v>
      </c>
      <c r="D20" s="6"/>
      <c r="E20" s="6" t="s">
        <v>89</v>
      </c>
      <c r="F20" s="6" t="s">
        <v>90</v>
      </c>
      <c r="G20" s="6" t="s">
        <v>24</v>
      </c>
      <c r="H20" s="7" t="s">
        <v>83</v>
      </c>
      <c r="I20" s="6" t="s">
        <v>561</v>
      </c>
      <c r="J20" s="6" t="s">
        <v>855</v>
      </c>
      <c r="K20" s="6" t="s">
        <v>562</v>
      </c>
      <c r="L20" s="9" t="str">
        <f t="shared" si="0"/>
        <v>https://opencell.czbiohub.org/target/1531</v>
      </c>
      <c r="M20" s="9" t="str">
        <f t="shared" si="1"/>
        <v>https://v20.proteinatlas.org/ENSG00000136026/cell</v>
      </c>
      <c r="N20" s="9" t="str">
        <f t="shared" si="2"/>
        <v>https://www.uniprot.org/uniprot/Q07065</v>
      </c>
    </row>
    <row r="21" spans="1:14" x14ac:dyDescent="0.2">
      <c r="A21" s="6" t="s">
        <v>91</v>
      </c>
      <c r="B21" s="6" t="s">
        <v>92</v>
      </c>
      <c r="C21" s="6" t="s">
        <v>27</v>
      </c>
      <c r="D21" s="6"/>
      <c r="E21" s="6" t="s">
        <v>41</v>
      </c>
      <c r="F21" s="6"/>
      <c r="G21" s="6" t="s">
        <v>24</v>
      </c>
      <c r="H21" s="7" t="s">
        <v>93</v>
      </c>
      <c r="I21" s="6" t="s">
        <v>563</v>
      </c>
      <c r="J21" s="6" t="s">
        <v>856</v>
      </c>
      <c r="K21" s="6" t="s">
        <v>564</v>
      </c>
      <c r="L21" s="9" t="str">
        <f t="shared" si="0"/>
        <v>https://opencell.czbiohub.org/target/1656</v>
      </c>
      <c r="M21" s="9" t="str">
        <f t="shared" si="1"/>
        <v>https://v20.proteinatlas.org/ENSG00000103249/cell</v>
      </c>
      <c r="N21" s="9" t="str">
        <f t="shared" si="2"/>
        <v>https://www.uniprot.org/uniprot/P51798</v>
      </c>
    </row>
    <row r="22" spans="1:14" x14ac:dyDescent="0.2">
      <c r="A22" s="6" t="s">
        <v>94</v>
      </c>
      <c r="B22" s="6" t="s">
        <v>95</v>
      </c>
      <c r="C22" s="6" t="s">
        <v>96</v>
      </c>
      <c r="D22" s="6"/>
      <c r="E22" s="6" t="s">
        <v>97</v>
      </c>
      <c r="F22" s="6"/>
      <c r="G22" s="6" t="s">
        <v>24</v>
      </c>
      <c r="H22" s="7" t="s">
        <v>98</v>
      </c>
      <c r="I22" s="6" t="s">
        <v>565</v>
      </c>
      <c r="J22" s="6" t="s">
        <v>857</v>
      </c>
      <c r="K22" s="6" t="s">
        <v>566</v>
      </c>
      <c r="L22" s="9" t="str">
        <f t="shared" si="0"/>
        <v>https://opencell.czbiohub.org/target/1734</v>
      </c>
      <c r="M22" s="9" t="str">
        <f t="shared" si="1"/>
        <v>https://v20.proteinatlas.org/ENSG00000104853/cell</v>
      </c>
      <c r="N22" s="9" t="str">
        <f t="shared" si="2"/>
        <v>https://www.uniprot.org/uniprot/O96005</v>
      </c>
    </row>
    <row r="23" spans="1:14" x14ac:dyDescent="0.2">
      <c r="A23" s="6" t="s">
        <v>99</v>
      </c>
      <c r="B23" s="6" t="s">
        <v>100</v>
      </c>
      <c r="C23" s="6" t="s">
        <v>27</v>
      </c>
      <c r="D23" s="6" t="s">
        <v>21</v>
      </c>
      <c r="E23" s="6" t="s">
        <v>41</v>
      </c>
      <c r="F23" s="6" t="s">
        <v>22</v>
      </c>
      <c r="G23" s="6" t="s">
        <v>24</v>
      </c>
      <c r="H23" s="7" t="s">
        <v>101</v>
      </c>
      <c r="I23" s="6" t="s">
        <v>567</v>
      </c>
      <c r="J23" s="6" t="s">
        <v>858</v>
      </c>
      <c r="K23" s="6" t="s">
        <v>568</v>
      </c>
      <c r="L23" s="9" t="str">
        <f t="shared" si="0"/>
        <v>https://opencell.czbiohub.org/target/266</v>
      </c>
      <c r="M23" s="9" t="str">
        <f t="shared" si="1"/>
        <v>https://v20.proteinatlas.org/ENSG00000173163/cell</v>
      </c>
      <c r="N23" s="9" t="str">
        <f t="shared" si="2"/>
        <v>https://www.uniprot.org/uniprot/Q8N668</v>
      </c>
    </row>
    <row r="24" spans="1:14" x14ac:dyDescent="0.2">
      <c r="A24" s="6" t="s">
        <v>102</v>
      </c>
      <c r="B24" s="6" t="s">
        <v>103</v>
      </c>
      <c r="C24" s="6" t="s">
        <v>27</v>
      </c>
      <c r="D24" s="6" t="s">
        <v>21</v>
      </c>
      <c r="E24" s="6" t="s">
        <v>104</v>
      </c>
      <c r="F24" s="6"/>
      <c r="G24" s="6" t="s">
        <v>24</v>
      </c>
      <c r="H24" s="7" t="s">
        <v>105</v>
      </c>
      <c r="I24" s="6" t="s">
        <v>569</v>
      </c>
      <c r="J24" s="6" t="s">
        <v>859</v>
      </c>
      <c r="K24" s="6" t="s">
        <v>570</v>
      </c>
      <c r="L24" s="9" t="str">
        <f t="shared" si="0"/>
        <v>https://opencell.czbiohub.org/target/267</v>
      </c>
      <c r="M24" s="9" t="str">
        <f t="shared" si="1"/>
        <v>https://v20.proteinatlas.org/ENSG00000114744/cell</v>
      </c>
      <c r="N24" s="9" t="str">
        <f t="shared" si="2"/>
        <v>https://www.uniprot.org/uniprot/Q86X83</v>
      </c>
    </row>
    <row r="25" spans="1:14" x14ac:dyDescent="0.2">
      <c r="A25" s="6" t="s">
        <v>106</v>
      </c>
      <c r="B25" s="6" t="s">
        <v>107</v>
      </c>
      <c r="C25" s="6" t="s">
        <v>36</v>
      </c>
      <c r="D25" s="6"/>
      <c r="E25" s="6" t="s">
        <v>22</v>
      </c>
      <c r="F25" s="6"/>
      <c r="G25" s="6" t="s">
        <v>24</v>
      </c>
      <c r="H25" s="7" t="s">
        <v>108</v>
      </c>
      <c r="I25" s="6" t="s">
        <v>571</v>
      </c>
      <c r="J25" s="6" t="s">
        <v>860</v>
      </c>
      <c r="K25" s="6" t="s">
        <v>572</v>
      </c>
      <c r="L25" s="9" t="str">
        <f t="shared" si="0"/>
        <v>https://opencell.czbiohub.org/target/915</v>
      </c>
      <c r="M25" s="9" t="str">
        <f t="shared" si="1"/>
        <v>https://v20.proteinatlas.org/ENSG00000184432/cell</v>
      </c>
      <c r="N25" s="9" t="str">
        <f t="shared" si="2"/>
        <v>https://www.uniprot.org/uniprot/P35606</v>
      </c>
    </row>
    <row r="26" spans="1:14" x14ac:dyDescent="0.2">
      <c r="A26" s="6" t="s">
        <v>109</v>
      </c>
      <c r="B26" s="6" t="s">
        <v>110</v>
      </c>
      <c r="C26" s="6" t="s">
        <v>72</v>
      </c>
      <c r="D26" s="6" t="s">
        <v>21</v>
      </c>
      <c r="E26" s="6" t="s">
        <v>111</v>
      </c>
      <c r="F26" s="6" t="s">
        <v>41</v>
      </c>
      <c r="G26" s="6" t="s">
        <v>24</v>
      </c>
      <c r="H26" s="7" t="s">
        <v>112</v>
      </c>
      <c r="I26" s="6" t="s">
        <v>573</v>
      </c>
      <c r="J26" s="6" t="s">
        <v>861</v>
      </c>
      <c r="K26" s="6" t="s">
        <v>574</v>
      </c>
      <c r="L26" s="9" t="str">
        <f t="shared" si="0"/>
        <v>https://opencell.czbiohub.org/target/1162</v>
      </c>
      <c r="M26" s="9" t="str">
        <f t="shared" si="1"/>
        <v>https://v20.proteinatlas.org/ENSG00000141551/cell</v>
      </c>
      <c r="N26" s="9" t="str">
        <f t="shared" si="2"/>
        <v>https://www.uniprot.org/uniprot/P48730</v>
      </c>
    </row>
    <row r="27" spans="1:14" x14ac:dyDescent="0.2">
      <c r="A27" s="6" t="s">
        <v>113</v>
      </c>
      <c r="B27" s="6" t="s">
        <v>114</v>
      </c>
      <c r="C27" s="6" t="s">
        <v>63</v>
      </c>
      <c r="D27" s="6"/>
      <c r="E27" s="6" t="s">
        <v>22</v>
      </c>
      <c r="F27" s="6"/>
      <c r="G27" s="6" t="s">
        <v>24</v>
      </c>
      <c r="H27" s="7" t="s">
        <v>115</v>
      </c>
      <c r="I27" s="6" t="s">
        <v>575</v>
      </c>
      <c r="J27" s="6" t="s">
        <v>862</v>
      </c>
      <c r="K27" s="6" t="s">
        <v>576</v>
      </c>
      <c r="L27" s="9" t="str">
        <f t="shared" si="0"/>
        <v>https://opencell.czbiohub.org/target/186</v>
      </c>
      <c r="M27" s="9" t="str">
        <f t="shared" si="1"/>
        <v>https://v20.proteinatlas.org/ENSG00000129562/cell</v>
      </c>
      <c r="N27" s="9" t="str">
        <f t="shared" si="2"/>
        <v>https://www.uniprot.org/uniprot/P61803</v>
      </c>
    </row>
    <row r="28" spans="1:14" x14ac:dyDescent="0.2">
      <c r="A28" s="6" t="s">
        <v>116</v>
      </c>
      <c r="B28" s="6" t="s">
        <v>117</v>
      </c>
      <c r="C28" s="6" t="s">
        <v>118</v>
      </c>
      <c r="D28" s="6" t="s">
        <v>21</v>
      </c>
      <c r="E28" s="6" t="s">
        <v>41</v>
      </c>
      <c r="F28" s="6"/>
      <c r="G28" s="6" t="s">
        <v>24</v>
      </c>
      <c r="H28" s="7" t="s">
        <v>119</v>
      </c>
      <c r="I28" s="6" t="s">
        <v>577</v>
      </c>
      <c r="J28" s="6" t="s">
        <v>863</v>
      </c>
      <c r="K28" s="6" t="s">
        <v>578</v>
      </c>
      <c r="L28" s="9" t="str">
        <f t="shared" si="0"/>
        <v>https://opencell.czbiohub.org/target/1166</v>
      </c>
      <c r="M28" s="9" t="str">
        <f t="shared" si="1"/>
        <v>https://v20.proteinatlas.org/ENSG00000167657/cell</v>
      </c>
      <c r="N28" s="9" t="str">
        <f t="shared" si="2"/>
        <v>https://www.uniprot.org/uniprot/O43293</v>
      </c>
    </row>
    <row r="29" spans="1:14" x14ac:dyDescent="0.2">
      <c r="A29" s="6" t="s">
        <v>120</v>
      </c>
      <c r="B29" s="6" t="s">
        <v>121</v>
      </c>
      <c r="C29" s="6" t="s">
        <v>122</v>
      </c>
      <c r="D29" s="6"/>
      <c r="E29" s="6" t="s">
        <v>123</v>
      </c>
      <c r="F29" s="6"/>
      <c r="G29" s="6" t="s">
        <v>24</v>
      </c>
      <c r="H29" s="7" t="s">
        <v>124</v>
      </c>
      <c r="I29" s="6" t="s">
        <v>579</v>
      </c>
      <c r="J29" s="6" t="s">
        <v>864</v>
      </c>
      <c r="K29" s="6" t="s">
        <v>580</v>
      </c>
      <c r="L29" s="9" t="str">
        <f t="shared" si="0"/>
        <v>https://opencell.czbiohub.org/target/299</v>
      </c>
      <c r="M29" s="9" t="str">
        <f t="shared" si="1"/>
        <v>https://v20.proteinatlas.org/ENSG00000143753/cell</v>
      </c>
      <c r="N29" s="9" t="str">
        <f t="shared" si="2"/>
        <v>https://www.uniprot.org/uniprot/O15121</v>
      </c>
    </row>
    <row r="30" spans="1:14" x14ac:dyDescent="0.2">
      <c r="A30" s="6" t="s">
        <v>125</v>
      </c>
      <c r="B30" s="6" t="s">
        <v>126</v>
      </c>
      <c r="C30" s="6" t="s">
        <v>127</v>
      </c>
      <c r="D30" s="6" t="s">
        <v>15</v>
      </c>
      <c r="E30" s="6" t="s">
        <v>64</v>
      </c>
      <c r="F30" s="6"/>
      <c r="G30" s="6" t="s">
        <v>24</v>
      </c>
      <c r="H30" s="7" t="s">
        <v>128</v>
      </c>
      <c r="I30" s="6" t="s">
        <v>581</v>
      </c>
      <c r="J30" s="6" t="s">
        <v>865</v>
      </c>
      <c r="K30" s="6" t="s">
        <v>582</v>
      </c>
      <c r="L30" s="9" t="str">
        <f t="shared" si="0"/>
        <v>https://opencell.czbiohub.org/target/1106</v>
      </c>
      <c r="M30" s="9" t="str">
        <f t="shared" si="1"/>
        <v>https://v20.proteinatlas.org/ENSG00000150990/cell</v>
      </c>
      <c r="N30" s="9" t="str">
        <f t="shared" si="2"/>
        <v>https://www.uniprot.org/uniprot/Q8IY37</v>
      </c>
    </row>
    <row r="31" spans="1:14" x14ac:dyDescent="0.2">
      <c r="A31" s="6" t="s">
        <v>129</v>
      </c>
      <c r="B31" s="6" t="s">
        <v>130</v>
      </c>
      <c r="C31" s="6" t="s">
        <v>14</v>
      </c>
      <c r="D31" s="6" t="s">
        <v>63</v>
      </c>
      <c r="E31" s="6" t="s">
        <v>123</v>
      </c>
      <c r="F31" s="6"/>
      <c r="G31" s="6" t="s">
        <v>24</v>
      </c>
      <c r="H31" s="7" t="s">
        <v>131</v>
      </c>
      <c r="I31" s="6" t="s">
        <v>583</v>
      </c>
      <c r="J31" s="6" t="s">
        <v>866</v>
      </c>
      <c r="K31" s="6" t="s">
        <v>584</v>
      </c>
      <c r="L31" s="9" t="str">
        <f t="shared" si="0"/>
        <v>https://opencell.czbiohub.org/target/1749</v>
      </c>
      <c r="M31" s="9" t="str">
        <f t="shared" si="1"/>
        <v>https://v20.proteinatlas.org/ENSG00000254772/cell</v>
      </c>
      <c r="N31" s="9" t="str">
        <f t="shared" si="2"/>
        <v>https://www.uniprot.org/uniprot/P26641</v>
      </c>
    </row>
    <row r="32" spans="1:14" x14ac:dyDescent="0.2">
      <c r="A32" s="6" t="s">
        <v>132</v>
      </c>
      <c r="B32" s="6" t="s">
        <v>133</v>
      </c>
      <c r="C32" s="6" t="s">
        <v>63</v>
      </c>
      <c r="D32" s="6"/>
      <c r="E32" s="6" t="s">
        <v>22</v>
      </c>
      <c r="F32" s="6" t="s">
        <v>134</v>
      </c>
      <c r="G32" s="6" t="s">
        <v>24</v>
      </c>
      <c r="H32" s="7" t="s">
        <v>135</v>
      </c>
      <c r="I32" s="6" t="s">
        <v>585</v>
      </c>
      <c r="J32" s="6" t="s">
        <v>867</v>
      </c>
      <c r="K32" s="6" t="s">
        <v>586</v>
      </c>
      <c r="L32" s="9" t="str">
        <f t="shared" si="0"/>
        <v>https://opencell.czbiohub.org/target/1653</v>
      </c>
      <c r="M32" s="9" t="str">
        <f t="shared" si="1"/>
        <v>https://v20.proteinatlas.org/ENSG00000125037/cell</v>
      </c>
      <c r="N32" s="9" t="str">
        <f t="shared" si="2"/>
        <v>https://www.uniprot.org/uniprot/Q9P0I2</v>
      </c>
    </row>
    <row r="33" spans="1:14" x14ac:dyDescent="0.2">
      <c r="A33" s="6" t="s">
        <v>136</v>
      </c>
      <c r="B33" s="6" t="s">
        <v>137</v>
      </c>
      <c r="C33" s="6" t="s">
        <v>63</v>
      </c>
      <c r="D33" s="6"/>
      <c r="E33" s="6" t="s">
        <v>73</v>
      </c>
      <c r="F33" s="6"/>
      <c r="G33" s="6" t="s">
        <v>24</v>
      </c>
      <c r="H33" s="7" t="s">
        <v>138</v>
      </c>
      <c r="I33" s="6" t="s">
        <v>587</v>
      </c>
      <c r="J33" s="6" t="s">
        <v>868</v>
      </c>
      <c r="K33" s="6" t="s">
        <v>588</v>
      </c>
      <c r="L33" s="9" t="str">
        <f t="shared" si="0"/>
        <v>https://opencell.czbiohub.org/target/1791</v>
      </c>
      <c r="M33" s="9" t="str">
        <f t="shared" si="1"/>
        <v>https://v20.proteinatlas.org/ENSG00000128463/cell</v>
      </c>
      <c r="N33" s="9" t="str">
        <f t="shared" si="2"/>
        <v>https://www.uniprot.org/uniprot/Q5J8M3</v>
      </c>
    </row>
    <row r="34" spans="1:14" x14ac:dyDescent="0.2">
      <c r="A34" s="6" t="s">
        <v>139</v>
      </c>
      <c r="B34" s="6" t="s">
        <v>140</v>
      </c>
      <c r="C34" s="6" t="s">
        <v>63</v>
      </c>
      <c r="D34" s="6"/>
      <c r="E34" s="6" t="s">
        <v>41</v>
      </c>
      <c r="F34" s="6"/>
      <c r="G34" s="6" t="s">
        <v>24</v>
      </c>
      <c r="H34" s="7" t="s">
        <v>138</v>
      </c>
      <c r="I34" s="6" t="s">
        <v>589</v>
      </c>
      <c r="J34" s="6" t="s">
        <v>869</v>
      </c>
      <c r="K34" s="6" t="s">
        <v>590</v>
      </c>
      <c r="L34" s="9" t="str">
        <f t="shared" ref="L34:L65" si="3">HYPERLINK(I34)</f>
        <v>https://opencell.czbiohub.org/target/1792</v>
      </c>
      <c r="M34" s="9" t="str">
        <f t="shared" ref="M34:M65" si="4">HYPERLINK(J34)</f>
        <v>https://v20.proteinatlas.org/ENSG00000134153/cell</v>
      </c>
      <c r="N34" s="9" t="str">
        <f t="shared" ref="N34:N65" si="5">HYPERLINK(K34)</f>
        <v>https://www.uniprot.org/uniprot/Q9NPA0</v>
      </c>
    </row>
    <row r="35" spans="1:14" x14ac:dyDescent="0.2">
      <c r="A35" s="6" t="s">
        <v>141</v>
      </c>
      <c r="B35" s="6" t="s">
        <v>142</v>
      </c>
      <c r="C35" s="6" t="s">
        <v>63</v>
      </c>
      <c r="D35" s="6"/>
      <c r="E35" s="6" t="s">
        <v>22</v>
      </c>
      <c r="F35" s="6"/>
      <c r="G35" s="6" t="s">
        <v>24</v>
      </c>
      <c r="H35" s="7" t="s">
        <v>115</v>
      </c>
      <c r="I35" s="6" t="s">
        <v>591</v>
      </c>
      <c r="J35" s="6" t="s">
        <v>870</v>
      </c>
      <c r="K35" s="6" t="s">
        <v>592</v>
      </c>
      <c r="L35" s="9" t="str">
        <f t="shared" si="3"/>
        <v>https://opencell.czbiohub.org/target/1793</v>
      </c>
      <c r="M35" s="9" t="str">
        <f t="shared" si="4"/>
        <v>https://v20.proteinatlas.org/ENSG00000131148/cell</v>
      </c>
      <c r="N35" s="9" t="str">
        <f t="shared" si="5"/>
        <v>https://www.uniprot.org/uniprot/O43402</v>
      </c>
    </row>
    <row r="36" spans="1:14" x14ac:dyDescent="0.2">
      <c r="A36" s="6" t="s">
        <v>143</v>
      </c>
      <c r="B36" s="6" t="s">
        <v>144</v>
      </c>
      <c r="C36" s="6" t="s">
        <v>63</v>
      </c>
      <c r="D36" s="6"/>
      <c r="E36" s="6" t="s">
        <v>145</v>
      </c>
      <c r="F36" s="6"/>
      <c r="G36" s="6" t="s">
        <v>24</v>
      </c>
      <c r="H36" s="7" t="s">
        <v>138</v>
      </c>
      <c r="I36" s="6" t="s">
        <v>593</v>
      </c>
      <c r="J36" s="6" t="s">
        <v>871</v>
      </c>
      <c r="K36" s="6" t="s">
        <v>594</v>
      </c>
      <c r="L36" s="9" t="str">
        <f t="shared" si="3"/>
        <v>https://opencell.czbiohub.org/target/1794</v>
      </c>
      <c r="M36" s="9" t="str">
        <f t="shared" si="4"/>
        <v>https://v20.proteinatlas.org/ENSG00000100908/cell</v>
      </c>
      <c r="N36" s="9" t="str">
        <f t="shared" si="5"/>
        <v>https://www.uniprot.org/uniprot/Q9Y3B6</v>
      </c>
    </row>
    <row r="37" spans="1:14" x14ac:dyDescent="0.2">
      <c r="A37" s="6" t="s">
        <v>146</v>
      </c>
      <c r="B37" s="6" t="s">
        <v>147</v>
      </c>
      <c r="C37" s="6" t="s">
        <v>148</v>
      </c>
      <c r="D37" s="6" t="s">
        <v>21</v>
      </c>
      <c r="E37" s="6" t="s">
        <v>149</v>
      </c>
      <c r="F37" s="6"/>
      <c r="G37" s="6" t="s">
        <v>24</v>
      </c>
      <c r="H37" s="7" t="s">
        <v>150</v>
      </c>
      <c r="I37" s="6" t="s">
        <v>595</v>
      </c>
      <c r="J37" s="6" t="s">
        <v>872</v>
      </c>
      <c r="K37" s="6" t="s">
        <v>596</v>
      </c>
      <c r="L37" s="9" t="str">
        <f t="shared" si="3"/>
        <v>https://opencell.czbiohub.org/target/2011</v>
      </c>
      <c r="M37" s="9" t="str">
        <f t="shared" si="4"/>
        <v>https://v20.proteinatlas.org/ENSG00000160256/cell</v>
      </c>
      <c r="N37" s="9" t="str">
        <f t="shared" si="5"/>
        <v>https://www.uniprot.org/uniprot/Q9NSI2</v>
      </c>
    </row>
    <row r="38" spans="1:14" x14ac:dyDescent="0.2">
      <c r="A38" s="6" t="s">
        <v>151</v>
      </c>
      <c r="B38" s="6" t="s">
        <v>152</v>
      </c>
      <c r="C38" s="6" t="s">
        <v>153</v>
      </c>
      <c r="D38" s="6" t="s">
        <v>21</v>
      </c>
      <c r="E38" s="6" t="s">
        <v>22</v>
      </c>
      <c r="F38" s="6"/>
      <c r="G38" s="6" t="s">
        <v>24</v>
      </c>
      <c r="H38" s="7" t="s">
        <v>154</v>
      </c>
      <c r="I38" s="6" t="s">
        <v>597</v>
      </c>
      <c r="J38" s="6" t="s">
        <v>873</v>
      </c>
      <c r="K38" s="6" t="s">
        <v>598</v>
      </c>
      <c r="L38" s="9" t="str">
        <f t="shared" si="3"/>
        <v>https://opencell.czbiohub.org/target/576</v>
      </c>
      <c r="M38" s="9" t="str">
        <f t="shared" si="4"/>
        <v>https://v20.proteinatlas.org/ENSG00000152767/cell</v>
      </c>
      <c r="N38" s="9" t="str">
        <f t="shared" si="5"/>
        <v>https://www.uniprot.org/uniprot/Q9Y4F1</v>
      </c>
    </row>
    <row r="39" spans="1:14" x14ac:dyDescent="0.2">
      <c r="A39" s="6" t="s">
        <v>155</v>
      </c>
      <c r="B39" s="6" t="s">
        <v>156</v>
      </c>
      <c r="C39" s="6" t="s">
        <v>63</v>
      </c>
      <c r="D39" s="6"/>
      <c r="E39" s="6" t="s">
        <v>157</v>
      </c>
      <c r="F39" s="6"/>
      <c r="G39" s="6" t="s">
        <v>24</v>
      </c>
      <c r="H39" s="7" t="s">
        <v>158</v>
      </c>
      <c r="I39" s="6" t="s">
        <v>599</v>
      </c>
      <c r="J39" s="6" t="s">
        <v>874</v>
      </c>
      <c r="K39" s="6" t="s">
        <v>600</v>
      </c>
      <c r="L39" s="9" t="str">
        <f t="shared" si="3"/>
        <v>https://opencell.czbiohub.org/target/326</v>
      </c>
      <c r="M39" s="9" t="str">
        <f t="shared" si="4"/>
        <v>https://v20.proteinatlas.org/ENSG00000138678/cell</v>
      </c>
      <c r="N39" s="9" t="str">
        <f t="shared" si="5"/>
        <v>https://www.uniprot.org/uniprot/Q53EU6</v>
      </c>
    </row>
    <row r="40" spans="1:14" x14ac:dyDescent="0.2">
      <c r="A40" s="6" t="s">
        <v>159</v>
      </c>
      <c r="B40" s="6" t="s">
        <v>160</v>
      </c>
      <c r="C40" s="6"/>
      <c r="D40" s="6" t="s">
        <v>15</v>
      </c>
      <c r="E40" s="6" t="s">
        <v>41</v>
      </c>
      <c r="F40" s="6" t="s">
        <v>22</v>
      </c>
      <c r="G40" s="6" t="s">
        <v>24</v>
      </c>
      <c r="H40" s="7" t="s">
        <v>161</v>
      </c>
      <c r="I40" s="6" t="s">
        <v>601</v>
      </c>
      <c r="J40" s="6" t="s">
        <v>875</v>
      </c>
      <c r="K40" s="6" t="s">
        <v>602</v>
      </c>
      <c r="L40" s="9" t="str">
        <f t="shared" si="3"/>
        <v>https://opencell.czbiohub.org/target/51</v>
      </c>
      <c r="M40" s="9" t="str">
        <f t="shared" si="4"/>
        <v>https://v20.proteinatlas.org/ENSG00000081870/cell</v>
      </c>
      <c r="N40" s="9" t="str">
        <f t="shared" si="5"/>
        <v>https://www.uniprot.org/uniprot/Q9Y547</v>
      </c>
    </row>
    <row r="41" spans="1:14" x14ac:dyDescent="0.2">
      <c r="A41" s="6" t="s">
        <v>320</v>
      </c>
      <c r="B41" s="6" t="s">
        <v>321</v>
      </c>
      <c r="C41" s="6" t="s">
        <v>322</v>
      </c>
      <c r="D41" s="6"/>
      <c r="E41" s="6" t="s">
        <v>41</v>
      </c>
      <c r="F41" s="6" t="s">
        <v>77</v>
      </c>
      <c r="G41" s="6" t="s">
        <v>24</v>
      </c>
      <c r="H41" s="7" t="s">
        <v>323</v>
      </c>
      <c r="I41" s="6" t="s">
        <v>698</v>
      </c>
      <c r="J41" s="6" t="s">
        <v>876</v>
      </c>
      <c r="K41" s="6" t="s">
        <v>699</v>
      </c>
      <c r="L41" s="9" t="str">
        <f t="shared" si="3"/>
        <v>https://opencell.czbiohub.org/target/1424</v>
      </c>
      <c r="M41" s="9" t="str">
        <f t="shared" si="4"/>
        <v>https://v20.proteinatlas.org/ENSG00000101350/cell</v>
      </c>
      <c r="N41" s="9" t="str">
        <f t="shared" si="5"/>
        <v>https://www.uniprot.org/uniprot/O15066</v>
      </c>
    </row>
    <row r="42" spans="1:14" x14ac:dyDescent="0.2">
      <c r="A42" s="6" t="s">
        <v>162</v>
      </c>
      <c r="B42" s="6" t="s">
        <v>163</v>
      </c>
      <c r="C42" s="6" t="s">
        <v>164</v>
      </c>
      <c r="D42" s="6" t="s">
        <v>21</v>
      </c>
      <c r="E42" s="6" t="s">
        <v>22</v>
      </c>
      <c r="F42" s="6"/>
      <c r="G42" s="6" t="s">
        <v>24</v>
      </c>
      <c r="H42" s="7" t="s">
        <v>165</v>
      </c>
      <c r="I42" s="6" t="s">
        <v>603</v>
      </c>
      <c r="J42" s="6" t="s">
        <v>877</v>
      </c>
      <c r="K42" s="6" t="s">
        <v>604</v>
      </c>
      <c r="L42" s="9" t="str">
        <f t="shared" si="3"/>
        <v>https://opencell.czbiohub.org/target/727</v>
      </c>
      <c r="M42" s="9" t="str">
        <f t="shared" si="4"/>
        <v>https://v20.proteinatlas.org/ENSG00000111057/cell</v>
      </c>
      <c r="N42" s="9" t="str">
        <f t="shared" si="5"/>
        <v>https://www.uniprot.org/uniprot/P05783</v>
      </c>
    </row>
    <row r="43" spans="1:14" x14ac:dyDescent="0.2">
      <c r="A43" s="6" t="s">
        <v>324</v>
      </c>
      <c r="B43" s="6" t="s">
        <v>325</v>
      </c>
      <c r="C43" s="6" t="s">
        <v>27</v>
      </c>
      <c r="D43" s="6"/>
      <c r="E43" s="6" t="s">
        <v>22</v>
      </c>
      <c r="F43" s="6"/>
      <c r="G43" s="6" t="s">
        <v>24</v>
      </c>
      <c r="H43" s="7" t="s">
        <v>326</v>
      </c>
      <c r="I43" s="6" t="s">
        <v>700</v>
      </c>
      <c r="J43" s="6" t="s">
        <v>878</v>
      </c>
      <c r="K43" s="6" t="s">
        <v>701</v>
      </c>
      <c r="L43" s="9" t="str">
        <f t="shared" si="3"/>
        <v>https://opencell.czbiohub.org/target/923</v>
      </c>
      <c r="M43" s="9" t="str">
        <f t="shared" si="4"/>
        <v>https://v20.proteinatlas.org/ENSG00000074695/cell</v>
      </c>
      <c r="N43" s="9" t="str">
        <f t="shared" si="5"/>
        <v>https://www.uniprot.org/uniprot/P49257</v>
      </c>
    </row>
    <row r="44" spans="1:14" x14ac:dyDescent="0.2">
      <c r="A44" s="6" t="s">
        <v>166</v>
      </c>
      <c r="B44" s="6" t="s">
        <v>167</v>
      </c>
      <c r="C44" s="6" t="s">
        <v>168</v>
      </c>
      <c r="D44" s="6"/>
      <c r="E44" s="6" t="s">
        <v>169</v>
      </c>
      <c r="F44" s="6"/>
      <c r="G44" s="6" t="s">
        <v>24</v>
      </c>
      <c r="H44" s="7" t="s">
        <v>170</v>
      </c>
      <c r="I44" s="6" t="s">
        <v>605</v>
      </c>
      <c r="J44" s="6" t="s">
        <v>879</v>
      </c>
      <c r="K44" s="6" t="s">
        <v>606</v>
      </c>
      <c r="L44" s="9" t="str">
        <f t="shared" si="3"/>
        <v>https://opencell.czbiohub.org/target/890</v>
      </c>
      <c r="M44" s="9" t="str">
        <f t="shared" si="4"/>
        <v>https://v20.proteinatlas.org/ENSG00000160789/cell</v>
      </c>
      <c r="N44" s="9" t="str">
        <f t="shared" si="5"/>
        <v>https://www.uniprot.org/uniprot/P02545</v>
      </c>
    </row>
    <row r="45" spans="1:14" x14ac:dyDescent="0.2">
      <c r="A45" s="6" t="s">
        <v>171</v>
      </c>
      <c r="B45" s="6" t="s">
        <v>172</v>
      </c>
      <c r="C45" s="6" t="s">
        <v>63</v>
      </c>
      <c r="D45" s="6"/>
      <c r="E45" s="6" t="s">
        <v>22</v>
      </c>
      <c r="F45" s="6"/>
      <c r="G45" s="6" t="s">
        <v>24</v>
      </c>
      <c r="H45" s="7" t="s">
        <v>173</v>
      </c>
      <c r="I45" s="6" t="s">
        <v>607</v>
      </c>
      <c r="J45" s="6" t="s">
        <v>880</v>
      </c>
      <c r="K45" s="6" t="s">
        <v>608</v>
      </c>
      <c r="L45" s="9" t="str">
        <f t="shared" si="3"/>
        <v>https://opencell.czbiohub.org/target/338</v>
      </c>
      <c r="M45" s="9" t="str">
        <f t="shared" si="4"/>
        <v>https://v20.proteinatlas.org/ENSG00000125505/cell</v>
      </c>
      <c r="N45" s="9" t="str">
        <f t="shared" si="5"/>
        <v>https://www.uniprot.org/uniprot/Q96N66</v>
      </c>
    </row>
    <row r="46" spans="1:14" x14ac:dyDescent="0.2">
      <c r="A46" s="6" t="s">
        <v>174</v>
      </c>
      <c r="B46" s="6" t="s">
        <v>175</v>
      </c>
      <c r="C46" s="6" t="s">
        <v>27</v>
      </c>
      <c r="D46" s="6"/>
      <c r="E46" s="6" t="s">
        <v>123</v>
      </c>
      <c r="F46" s="6" t="s">
        <v>41</v>
      </c>
      <c r="G46" s="6" t="s">
        <v>24</v>
      </c>
      <c r="H46" s="7" t="s">
        <v>176</v>
      </c>
      <c r="I46" s="6" t="s">
        <v>609</v>
      </c>
      <c r="J46" s="6" t="s">
        <v>881</v>
      </c>
      <c r="K46" s="6" t="s">
        <v>610</v>
      </c>
      <c r="L46" s="9" t="str">
        <f t="shared" si="3"/>
        <v>https://opencell.czbiohub.org/target/1850</v>
      </c>
      <c r="M46" s="9" t="str">
        <f t="shared" si="4"/>
        <v>https://v20.proteinatlas.org/ENSG00000161091/cell</v>
      </c>
      <c r="N46" s="9" t="str">
        <f t="shared" si="5"/>
        <v>https://www.uniprot.org/uniprot/Q6NUT3</v>
      </c>
    </row>
    <row r="47" spans="1:14" x14ac:dyDescent="0.2">
      <c r="A47" s="6" t="s">
        <v>177</v>
      </c>
      <c r="B47" s="6" t="s">
        <v>178</v>
      </c>
      <c r="C47" s="6" t="s">
        <v>179</v>
      </c>
      <c r="D47" s="6"/>
      <c r="E47" s="6" t="s">
        <v>180</v>
      </c>
      <c r="F47" s="6"/>
      <c r="G47" s="6" t="s">
        <v>24</v>
      </c>
      <c r="H47" s="7" t="s">
        <v>831</v>
      </c>
      <c r="I47" s="6" t="s">
        <v>611</v>
      </c>
      <c r="J47" s="6" t="s">
        <v>882</v>
      </c>
      <c r="K47" s="6" t="s">
        <v>612</v>
      </c>
      <c r="L47" s="9" t="str">
        <f t="shared" si="3"/>
        <v>https://opencell.czbiohub.org/target/144</v>
      </c>
      <c r="M47" s="9" t="str">
        <f t="shared" si="4"/>
        <v>https://v20.proteinatlas.org/ENSG00000063601/cell</v>
      </c>
      <c r="N47" s="9" t="str">
        <f t="shared" si="5"/>
        <v>https://www.uniprot.org/uniprot/Q13613</v>
      </c>
    </row>
    <row r="48" spans="1:14" x14ac:dyDescent="0.2">
      <c r="A48" s="6" t="s">
        <v>181</v>
      </c>
      <c r="B48" s="6" t="s">
        <v>182</v>
      </c>
      <c r="C48" s="6" t="s">
        <v>49</v>
      </c>
      <c r="D48" s="6"/>
      <c r="E48" s="6" t="s">
        <v>41</v>
      </c>
      <c r="F48" s="6" t="s">
        <v>145</v>
      </c>
      <c r="G48" s="6" t="s">
        <v>24</v>
      </c>
      <c r="H48" s="7" t="s">
        <v>183</v>
      </c>
      <c r="I48" s="6" t="s">
        <v>613</v>
      </c>
      <c r="J48" s="6" t="s">
        <v>883</v>
      </c>
      <c r="K48" s="6" t="s">
        <v>614</v>
      </c>
      <c r="L48" s="9" t="str">
        <f t="shared" si="3"/>
        <v>https://opencell.czbiohub.org/target/782</v>
      </c>
      <c r="M48" s="9" t="str">
        <f t="shared" si="4"/>
        <v>https://v20.proteinatlas.org/ENSG00000141971/cell</v>
      </c>
      <c r="N48" s="9" t="str">
        <f t="shared" si="5"/>
        <v>https://www.uniprot.org/uniprot/Q96EY5</v>
      </c>
    </row>
    <row r="49" spans="1:14" x14ac:dyDescent="0.2">
      <c r="A49" s="6" t="s">
        <v>184</v>
      </c>
      <c r="B49" s="6" t="s">
        <v>185</v>
      </c>
      <c r="C49" s="6" t="s">
        <v>49</v>
      </c>
      <c r="D49" s="6" t="s">
        <v>153</v>
      </c>
      <c r="E49" s="6" t="s">
        <v>41</v>
      </c>
      <c r="F49" s="6"/>
      <c r="G49" s="6" t="s">
        <v>24</v>
      </c>
      <c r="H49" s="7" t="s">
        <v>186</v>
      </c>
      <c r="I49" s="6" t="s">
        <v>615</v>
      </c>
      <c r="J49" s="6" t="s">
        <v>884</v>
      </c>
      <c r="K49" s="6" t="s">
        <v>616</v>
      </c>
      <c r="L49" s="9" t="str">
        <f t="shared" si="3"/>
        <v>https://opencell.czbiohub.org/target/1442</v>
      </c>
      <c r="M49" s="9" t="str">
        <f t="shared" si="4"/>
        <v>https://v20.proteinatlas.org/ENSG00000196586/cell</v>
      </c>
      <c r="N49" s="9" t="str">
        <f t="shared" si="5"/>
        <v>https://www.uniprot.org/uniprot/Q9UM54</v>
      </c>
    </row>
    <row r="50" spans="1:14" x14ac:dyDescent="0.2">
      <c r="A50" s="6" t="s">
        <v>187</v>
      </c>
      <c r="B50" s="6" t="s">
        <v>188</v>
      </c>
      <c r="C50" s="6" t="s">
        <v>189</v>
      </c>
      <c r="D50" s="6"/>
      <c r="E50" s="6" t="s">
        <v>145</v>
      </c>
      <c r="F50" s="6"/>
      <c r="G50" s="6" t="s">
        <v>24</v>
      </c>
      <c r="H50" s="7" t="s">
        <v>190</v>
      </c>
      <c r="I50" s="6" t="s">
        <v>617</v>
      </c>
      <c r="J50" s="6" t="s">
        <v>885</v>
      </c>
      <c r="K50" s="6" t="s">
        <v>618</v>
      </c>
      <c r="L50" s="9" t="str">
        <f t="shared" si="3"/>
        <v>https://opencell.czbiohub.org/target/1507</v>
      </c>
      <c r="M50" s="9" t="str">
        <f t="shared" si="4"/>
        <v>https://v20.proteinatlas.org/ENSG00000167566/cell</v>
      </c>
      <c r="N50" s="9" t="str">
        <f t="shared" si="5"/>
        <v>https://www.uniprot.org/uniprot/Q9HCH0</v>
      </c>
    </row>
    <row r="51" spans="1:14" x14ac:dyDescent="0.2">
      <c r="A51" s="6" t="s">
        <v>191</v>
      </c>
      <c r="B51" s="6" t="s">
        <v>192</v>
      </c>
      <c r="C51" s="6" t="s">
        <v>63</v>
      </c>
      <c r="D51" s="6" t="s">
        <v>27</v>
      </c>
      <c r="E51" s="6" t="s">
        <v>193</v>
      </c>
      <c r="F51" s="6" t="s">
        <v>41</v>
      </c>
      <c r="G51" s="6" t="s">
        <v>24</v>
      </c>
      <c r="H51" s="7" t="s">
        <v>194</v>
      </c>
      <c r="I51" s="6" t="s">
        <v>619</v>
      </c>
      <c r="J51" s="6" t="s">
        <v>886</v>
      </c>
      <c r="K51" s="6" t="s">
        <v>620</v>
      </c>
      <c r="L51" s="9" t="str">
        <f t="shared" si="3"/>
        <v>https://opencell.czbiohub.org/target/2039</v>
      </c>
      <c r="M51" s="9" t="str">
        <f t="shared" si="4"/>
        <v>https://v20.proteinatlas.org/ENSG00000125912/cell</v>
      </c>
      <c r="N51" s="9" t="str">
        <f t="shared" si="5"/>
        <v>https://www.uniprot.org/uniprot/Q969V3</v>
      </c>
    </row>
    <row r="52" spans="1:14" x14ac:dyDescent="0.2">
      <c r="A52" s="6" t="s">
        <v>195</v>
      </c>
      <c r="B52" s="6" t="s">
        <v>196</v>
      </c>
      <c r="C52" s="6" t="s">
        <v>197</v>
      </c>
      <c r="D52" s="6"/>
      <c r="E52" s="6" t="s">
        <v>41</v>
      </c>
      <c r="F52" s="6" t="s">
        <v>22</v>
      </c>
      <c r="G52" s="6" t="s">
        <v>24</v>
      </c>
      <c r="H52" s="7" t="s">
        <v>198</v>
      </c>
      <c r="I52" s="6" t="s">
        <v>621</v>
      </c>
      <c r="J52" s="6" t="s">
        <v>887</v>
      </c>
      <c r="K52" s="6" t="s">
        <v>622</v>
      </c>
      <c r="L52" s="9" t="str">
        <f t="shared" si="3"/>
        <v>https://opencell.czbiohub.org/target/1035</v>
      </c>
      <c r="M52" s="9" t="str">
        <f t="shared" si="4"/>
        <v>https://v20.proteinatlas.org/ENSG00000145912/cell</v>
      </c>
      <c r="N52" s="9" t="str">
        <f t="shared" si="5"/>
        <v>https://www.uniprot.org/uniprot/Q9NX24</v>
      </c>
    </row>
    <row r="53" spans="1:14" x14ac:dyDescent="0.2">
      <c r="A53" s="6" t="s">
        <v>199</v>
      </c>
      <c r="B53" s="6" t="s">
        <v>200</v>
      </c>
      <c r="C53" s="6" t="s">
        <v>197</v>
      </c>
      <c r="D53" s="6" t="s">
        <v>15</v>
      </c>
      <c r="E53" s="6" t="s">
        <v>201</v>
      </c>
      <c r="F53" s="6"/>
      <c r="G53" s="6" t="s">
        <v>24</v>
      </c>
      <c r="H53" s="7" t="s">
        <v>202</v>
      </c>
      <c r="I53" s="6" t="s">
        <v>623</v>
      </c>
      <c r="J53" s="6" t="s">
        <v>888</v>
      </c>
      <c r="K53" s="6" t="s">
        <v>624</v>
      </c>
      <c r="L53" s="9" t="str">
        <f t="shared" si="3"/>
        <v>https://opencell.czbiohub.org/target/1046</v>
      </c>
      <c r="M53" s="9" t="str">
        <f t="shared" si="4"/>
        <v>https://v20.proteinatlas.org/ENSG00000182117/cell</v>
      </c>
      <c r="N53" s="9" t="str">
        <f t="shared" si="5"/>
        <v>https://www.uniprot.org/uniprot/Q9NPE3</v>
      </c>
    </row>
    <row r="54" spans="1:14" x14ac:dyDescent="0.2">
      <c r="A54" s="6" t="s">
        <v>203</v>
      </c>
      <c r="B54" s="6" t="s">
        <v>204</v>
      </c>
      <c r="C54" s="6" t="s">
        <v>14</v>
      </c>
      <c r="D54" s="6"/>
      <c r="E54" s="6" t="s">
        <v>41</v>
      </c>
      <c r="F54" s="6" t="s">
        <v>205</v>
      </c>
      <c r="G54" s="6" t="s">
        <v>24</v>
      </c>
      <c r="H54" s="7" t="s">
        <v>206</v>
      </c>
      <c r="I54" s="8" t="s">
        <v>625</v>
      </c>
      <c r="J54" s="8" t="s">
        <v>889</v>
      </c>
      <c r="K54" s="6" t="s">
        <v>626</v>
      </c>
      <c r="L54" s="9" t="str">
        <f t="shared" si="3"/>
        <v>https://opencell.czbiohub.org/target/1517</v>
      </c>
      <c r="M54" s="9" t="str">
        <f t="shared" si="4"/>
        <v>https://v20.proteinatlas.org/ENSG00000108256/cell</v>
      </c>
      <c r="N54" s="9" t="str">
        <f t="shared" si="5"/>
        <v>https://www.uniprot.org/uniprot/Q7Z417</v>
      </c>
    </row>
    <row r="55" spans="1:14" x14ac:dyDescent="0.2">
      <c r="A55" s="6" t="s">
        <v>207</v>
      </c>
      <c r="B55" s="6" t="s">
        <v>208</v>
      </c>
      <c r="C55" s="6" t="s">
        <v>168</v>
      </c>
      <c r="D55" s="6"/>
      <c r="E55" s="6" t="s">
        <v>41</v>
      </c>
      <c r="F55" s="6" t="s">
        <v>209</v>
      </c>
      <c r="G55" s="6" t="s">
        <v>24</v>
      </c>
      <c r="H55" s="7" t="s">
        <v>210</v>
      </c>
      <c r="I55" s="6" t="s">
        <v>627</v>
      </c>
      <c r="J55" s="6" t="s">
        <v>890</v>
      </c>
      <c r="K55" s="6" t="s">
        <v>628</v>
      </c>
      <c r="L55" s="9" t="str">
        <f t="shared" si="3"/>
        <v>https://opencell.czbiohub.org/target/1715</v>
      </c>
      <c r="M55" s="9" t="str">
        <f t="shared" si="4"/>
        <v>https://v20.proteinatlas.org/ENSG00000111581/cell</v>
      </c>
      <c r="N55" s="9" t="str">
        <f t="shared" si="5"/>
        <v>https://www.uniprot.org/uniprot/P57740</v>
      </c>
    </row>
    <row r="56" spans="1:14" x14ac:dyDescent="0.2">
      <c r="A56" s="6" t="s">
        <v>211</v>
      </c>
      <c r="B56" s="6" t="s">
        <v>212</v>
      </c>
      <c r="C56" s="6" t="s">
        <v>213</v>
      </c>
      <c r="D56" s="6"/>
      <c r="E56" s="6" t="s">
        <v>41</v>
      </c>
      <c r="F56" s="6" t="s">
        <v>214</v>
      </c>
      <c r="G56" s="6" t="s">
        <v>24</v>
      </c>
      <c r="H56" s="7" t="s">
        <v>210</v>
      </c>
      <c r="I56" s="6" t="s">
        <v>629</v>
      </c>
      <c r="J56" s="6" t="s">
        <v>891</v>
      </c>
      <c r="K56" s="6" t="s">
        <v>630</v>
      </c>
      <c r="L56" s="9" t="str">
        <f t="shared" si="3"/>
        <v>https://opencell.czbiohub.org/target/1717</v>
      </c>
      <c r="M56" s="9" t="str">
        <f t="shared" si="4"/>
        <v>https://v20.proteinatlas.org/ENSG00000126883/cell</v>
      </c>
      <c r="N56" s="9" t="str">
        <f t="shared" si="5"/>
        <v>https://www.uniprot.org/uniprot/P35658</v>
      </c>
    </row>
    <row r="57" spans="1:14" x14ac:dyDescent="0.2">
      <c r="A57" s="6" t="s">
        <v>215</v>
      </c>
      <c r="B57" s="6" t="s">
        <v>216</v>
      </c>
      <c r="C57" s="6" t="s">
        <v>168</v>
      </c>
      <c r="D57" s="6"/>
      <c r="E57" s="6" t="s">
        <v>41</v>
      </c>
      <c r="F57" s="6" t="s">
        <v>9</v>
      </c>
      <c r="G57" s="6" t="s">
        <v>24</v>
      </c>
      <c r="H57" s="7" t="s">
        <v>210</v>
      </c>
      <c r="I57" s="6" t="s">
        <v>631</v>
      </c>
      <c r="J57" s="6" t="s">
        <v>892</v>
      </c>
      <c r="K57" s="6" t="s">
        <v>632</v>
      </c>
      <c r="L57" s="9" t="str">
        <f t="shared" si="3"/>
        <v>https://opencell.czbiohub.org/target/1714</v>
      </c>
      <c r="M57" s="9" t="str">
        <f t="shared" si="4"/>
        <v>https://v20.proteinatlas.org/ENSG00000110713/cell</v>
      </c>
      <c r="N57" s="9" t="str">
        <f t="shared" si="5"/>
        <v>https://www.uniprot.org/uniprot/P52948</v>
      </c>
    </row>
    <row r="58" spans="1:14" x14ac:dyDescent="0.2">
      <c r="A58" s="6" t="s">
        <v>217</v>
      </c>
      <c r="B58" s="6" t="s">
        <v>218</v>
      </c>
      <c r="C58" s="6" t="s">
        <v>219</v>
      </c>
      <c r="D58" s="6"/>
      <c r="E58" s="6" t="s">
        <v>22</v>
      </c>
      <c r="F58" s="6"/>
      <c r="G58" s="6" t="s">
        <v>24</v>
      </c>
      <c r="H58" s="7" t="s">
        <v>220</v>
      </c>
      <c r="I58" s="6" t="s">
        <v>633</v>
      </c>
      <c r="J58" s="6" t="s">
        <v>893</v>
      </c>
      <c r="K58" s="6" t="s">
        <v>634</v>
      </c>
      <c r="L58" s="9" t="str">
        <f t="shared" si="3"/>
        <v>https://opencell.czbiohub.org/target/354</v>
      </c>
      <c r="M58" s="9" t="str">
        <f t="shared" si="4"/>
        <v>https://v20.proteinatlas.org/ENSG00000276045/cell</v>
      </c>
      <c r="N58" s="9" t="str">
        <f t="shared" si="5"/>
        <v>https://www.uniprot.org/uniprot/Q96D31</v>
      </c>
    </row>
    <row r="59" spans="1:14" x14ac:dyDescent="0.2">
      <c r="A59" s="6" t="s">
        <v>221</v>
      </c>
      <c r="B59" s="6" t="s">
        <v>222</v>
      </c>
      <c r="C59" s="6" t="s">
        <v>122</v>
      </c>
      <c r="D59" s="6"/>
      <c r="E59" s="6" t="s">
        <v>223</v>
      </c>
      <c r="F59" s="6"/>
      <c r="G59" s="6" t="s">
        <v>24</v>
      </c>
      <c r="H59" s="7" t="s">
        <v>98</v>
      </c>
      <c r="I59" s="6" t="s">
        <v>635</v>
      </c>
      <c r="J59" s="6" t="s">
        <v>894</v>
      </c>
      <c r="K59" s="6" t="s">
        <v>636</v>
      </c>
      <c r="L59" s="9" t="str">
        <f t="shared" si="3"/>
        <v>https://opencell.czbiohub.org/target/1735</v>
      </c>
      <c r="M59" s="9" t="str">
        <f t="shared" si="4"/>
        <v>https://v20.proteinatlas.org/ENSG00000164040/cell</v>
      </c>
      <c r="N59" s="9" t="str">
        <f t="shared" si="5"/>
        <v>https://www.uniprot.org/uniprot/O15173</v>
      </c>
    </row>
    <row r="60" spans="1:14" x14ac:dyDescent="0.2">
      <c r="A60" s="6" t="s">
        <v>399</v>
      </c>
      <c r="B60" s="6" t="s">
        <v>400</v>
      </c>
      <c r="C60" s="6" t="s">
        <v>153</v>
      </c>
      <c r="D60" s="6"/>
      <c r="E60" s="6" t="s">
        <v>41</v>
      </c>
      <c r="F60" s="6" t="s">
        <v>401</v>
      </c>
      <c r="G60" s="6" t="s">
        <v>24</v>
      </c>
      <c r="H60" s="7" t="s">
        <v>402</v>
      </c>
      <c r="I60" s="6" t="s">
        <v>742</v>
      </c>
      <c r="J60" s="6" t="s">
        <v>944</v>
      </c>
      <c r="K60" s="6" t="s">
        <v>743</v>
      </c>
      <c r="L60" s="9" t="str">
        <f t="shared" si="3"/>
        <v>https://opencell.czbiohub.org/target/1613</v>
      </c>
      <c r="M60" s="9" t="str">
        <f t="shared" si="4"/>
        <v>https://v20.proteinatlas.org/ENSG00000019144/cell</v>
      </c>
      <c r="N60" s="9" t="str">
        <f t="shared" si="5"/>
        <v>https://www.uniprot.org/uniprot/Q86UU1</v>
      </c>
    </row>
    <row r="61" spans="1:14" x14ac:dyDescent="0.2">
      <c r="A61" s="6" t="s">
        <v>224</v>
      </c>
      <c r="B61" s="6" t="s">
        <v>225</v>
      </c>
      <c r="C61" s="6" t="s">
        <v>226</v>
      </c>
      <c r="D61" s="6" t="s">
        <v>15</v>
      </c>
      <c r="E61" s="6" t="s">
        <v>41</v>
      </c>
      <c r="F61" s="6" t="s">
        <v>16</v>
      </c>
      <c r="G61" s="6" t="s">
        <v>24</v>
      </c>
      <c r="H61" s="7" t="s">
        <v>227</v>
      </c>
      <c r="I61" s="6" t="s">
        <v>637</v>
      </c>
      <c r="J61" s="6" t="s">
        <v>895</v>
      </c>
      <c r="K61" s="6" t="s">
        <v>638</v>
      </c>
      <c r="L61" s="9" t="str">
        <f t="shared" si="3"/>
        <v>https://opencell.czbiohub.org/target/145</v>
      </c>
      <c r="M61" s="9" t="str">
        <f t="shared" si="4"/>
        <v>https://v20.proteinatlas.org/ENSG00000241973/cell</v>
      </c>
      <c r="N61" s="9" t="str">
        <f t="shared" si="5"/>
        <v>https://www.uniprot.org/uniprot/P42356</v>
      </c>
    </row>
    <row r="62" spans="1:14" x14ac:dyDescent="0.2">
      <c r="A62" s="6" t="s">
        <v>228</v>
      </c>
      <c r="B62" s="6" t="s">
        <v>229</v>
      </c>
      <c r="C62" s="6" t="s">
        <v>230</v>
      </c>
      <c r="D62" s="6"/>
      <c r="E62" s="6" t="s">
        <v>145</v>
      </c>
      <c r="F62" s="6"/>
      <c r="G62" s="6" t="s">
        <v>24</v>
      </c>
      <c r="H62" s="7" t="s">
        <v>231</v>
      </c>
      <c r="I62" s="6" t="s">
        <v>639</v>
      </c>
      <c r="J62" s="6" t="s">
        <v>896</v>
      </c>
      <c r="K62" s="6" t="s">
        <v>640</v>
      </c>
      <c r="L62" s="9" t="str">
        <f t="shared" si="3"/>
        <v>https://opencell.czbiohub.org/target/146</v>
      </c>
      <c r="M62" s="9" t="str">
        <f t="shared" si="4"/>
        <v>https://v20.proteinatlas.org/ENSG00000105647/cell</v>
      </c>
      <c r="N62" s="9" t="str">
        <f t="shared" si="5"/>
        <v>https://www.uniprot.org/uniprot/O00459</v>
      </c>
    </row>
    <row r="63" spans="1:14" x14ac:dyDescent="0.2">
      <c r="A63" s="6" t="s">
        <v>330</v>
      </c>
      <c r="B63" s="6" t="s">
        <v>331</v>
      </c>
      <c r="C63" s="6" t="s">
        <v>332</v>
      </c>
      <c r="D63" s="6" t="s">
        <v>15</v>
      </c>
      <c r="E63" s="6" t="s">
        <v>41</v>
      </c>
      <c r="F63" s="6"/>
      <c r="G63" s="6" t="s">
        <v>24</v>
      </c>
      <c r="H63" s="7" t="s">
        <v>333</v>
      </c>
      <c r="I63" s="6" t="s">
        <v>704</v>
      </c>
      <c r="J63" s="6" t="s">
        <v>897</v>
      </c>
      <c r="K63" s="6" t="s">
        <v>705</v>
      </c>
      <c r="L63" s="9" t="str">
        <f t="shared" si="3"/>
        <v>https://opencell.czbiohub.org/target/156</v>
      </c>
      <c r="M63" s="9" t="str">
        <f t="shared" si="4"/>
        <v>https://v20.proteinatlas.org/ENSG00000276293/cell</v>
      </c>
      <c r="N63" s="9" t="str">
        <f t="shared" si="5"/>
        <v>https://www.uniprot.org/uniprot/P78356</v>
      </c>
    </row>
    <row r="64" spans="1:14" x14ac:dyDescent="0.2">
      <c r="A64" s="6" t="s">
        <v>232</v>
      </c>
      <c r="B64" s="6" t="s">
        <v>233</v>
      </c>
      <c r="C64" s="6" t="s">
        <v>197</v>
      </c>
      <c r="D64" s="6" t="s">
        <v>68</v>
      </c>
      <c r="E64" s="6" t="s">
        <v>41</v>
      </c>
      <c r="F64" s="6"/>
      <c r="G64" s="6" t="s">
        <v>24</v>
      </c>
      <c r="H64" s="7" t="s">
        <v>234</v>
      </c>
      <c r="I64" s="6" t="s">
        <v>641</v>
      </c>
      <c r="J64" s="6" t="s">
        <v>898</v>
      </c>
      <c r="K64" s="6" t="s">
        <v>642</v>
      </c>
      <c r="L64" s="9" t="str">
        <f t="shared" si="3"/>
        <v>https://opencell.czbiohub.org/target/843</v>
      </c>
      <c r="M64" s="9" t="str">
        <f t="shared" si="4"/>
        <v>https://v20.proteinatlas.org/ENSG00000171453/cell</v>
      </c>
      <c r="N64" s="9" t="str">
        <f t="shared" si="5"/>
        <v>https://www.uniprot.org/uniprot/O15160</v>
      </c>
    </row>
    <row r="65" spans="1:14" x14ac:dyDescent="0.2">
      <c r="A65" s="6" t="s">
        <v>235</v>
      </c>
      <c r="B65" s="6" t="s">
        <v>236</v>
      </c>
      <c r="C65" s="6" t="s">
        <v>237</v>
      </c>
      <c r="D65" s="6" t="s">
        <v>15</v>
      </c>
      <c r="E65" s="6" t="s">
        <v>238</v>
      </c>
      <c r="F65" s="6" t="s">
        <v>22</v>
      </c>
      <c r="G65" s="6" t="s">
        <v>24</v>
      </c>
      <c r="H65" s="7" t="s">
        <v>239</v>
      </c>
      <c r="I65" s="6" t="s">
        <v>643</v>
      </c>
      <c r="J65" s="6" t="s">
        <v>899</v>
      </c>
      <c r="K65" s="6" t="s">
        <v>644</v>
      </c>
      <c r="L65" s="9" t="str">
        <f t="shared" si="3"/>
        <v>https://opencell.czbiohub.org/target/1244</v>
      </c>
      <c r="M65" s="9" t="str">
        <f t="shared" si="4"/>
        <v>https://v20.proteinatlas.org/ENSG00000132356/cell</v>
      </c>
      <c r="N65" s="9" t="str">
        <f t="shared" si="5"/>
        <v>https://www.uniprot.org/uniprot/Q13131</v>
      </c>
    </row>
    <row r="66" spans="1:14" x14ac:dyDescent="0.2">
      <c r="A66" s="6" t="s">
        <v>240</v>
      </c>
      <c r="B66" s="6" t="s">
        <v>241</v>
      </c>
      <c r="C66" s="6" t="s">
        <v>8</v>
      </c>
      <c r="D66" s="6"/>
      <c r="E66" s="6" t="s">
        <v>9</v>
      </c>
      <c r="F66" s="6" t="s">
        <v>145</v>
      </c>
      <c r="G66" s="6" t="s">
        <v>24</v>
      </c>
      <c r="H66" s="7" t="s">
        <v>242</v>
      </c>
      <c r="I66" s="6" t="s">
        <v>645</v>
      </c>
      <c r="J66" s="6" t="s">
        <v>900</v>
      </c>
      <c r="K66" s="6" t="s">
        <v>646</v>
      </c>
      <c r="L66" s="9" t="str">
        <f t="shared" ref="L66:L97" si="6">HYPERLINK(I66)</f>
        <v>https://opencell.czbiohub.org/target/117</v>
      </c>
      <c r="M66" s="9" t="str">
        <f t="shared" ref="M66:M97" si="7">HYPERLINK(J66)</f>
        <v>https://v20.proteinatlas.org/ENSG00000163636/cell</v>
      </c>
      <c r="N66" s="9" t="str">
        <f t="shared" ref="N66:N97" si="8">HYPERLINK(K66)</f>
        <v>https://www.uniprot.org/uniprot/Q15008</v>
      </c>
    </row>
    <row r="67" spans="1:14" x14ac:dyDescent="0.2">
      <c r="A67" s="6" t="s">
        <v>243</v>
      </c>
      <c r="B67" s="6" t="s">
        <v>244</v>
      </c>
      <c r="C67" s="6" t="s">
        <v>27</v>
      </c>
      <c r="D67" s="6" t="s">
        <v>21</v>
      </c>
      <c r="E67" s="6" t="s">
        <v>41</v>
      </c>
      <c r="F67" s="6" t="s">
        <v>22</v>
      </c>
      <c r="G67" s="6" t="s">
        <v>24</v>
      </c>
      <c r="H67" s="7" t="s">
        <v>245</v>
      </c>
      <c r="I67" s="6" t="s">
        <v>647</v>
      </c>
      <c r="J67" s="6" t="s">
        <v>901</v>
      </c>
      <c r="K67" s="6" t="s">
        <v>648</v>
      </c>
      <c r="L67" s="9" t="str">
        <f t="shared" si="6"/>
        <v>https://opencell.czbiohub.org/target/443</v>
      </c>
      <c r="M67" s="9" t="str">
        <f t="shared" si="7"/>
        <v>https://v20.proteinatlas.org/ENSG00000123595/cell</v>
      </c>
      <c r="N67" s="9" t="str">
        <f t="shared" si="8"/>
        <v>https://www.uniprot.org/uniprot/P51151</v>
      </c>
    </row>
    <row r="68" spans="1:14" x14ac:dyDescent="0.2">
      <c r="A68" s="6" t="s">
        <v>246</v>
      </c>
      <c r="B68" s="6" t="s">
        <v>247</v>
      </c>
      <c r="C68" s="6" t="s">
        <v>248</v>
      </c>
      <c r="D68" s="6"/>
      <c r="E68" s="6" t="s">
        <v>22</v>
      </c>
      <c r="F68" s="6"/>
      <c r="G68" s="6" t="s">
        <v>24</v>
      </c>
      <c r="H68" s="7" t="s">
        <v>249</v>
      </c>
      <c r="I68" s="6" t="s">
        <v>649</v>
      </c>
      <c r="J68" s="6" t="s">
        <v>902</v>
      </c>
      <c r="K68" s="6" t="s">
        <v>650</v>
      </c>
      <c r="L68" s="9" t="str">
        <f t="shared" si="6"/>
        <v>https://opencell.czbiohub.org/target/1521</v>
      </c>
      <c r="M68" s="9" t="str">
        <f t="shared" si="7"/>
        <v>https://v20.proteinatlas.org/ENSG00000132563/cell</v>
      </c>
      <c r="N68" s="9" t="str">
        <f t="shared" si="8"/>
        <v>https://www.uniprot.org/uniprot/Q9BRK0</v>
      </c>
    </row>
    <row r="69" spans="1:14" x14ac:dyDescent="0.2">
      <c r="A69" s="6" t="s">
        <v>250</v>
      </c>
      <c r="B69" s="6" t="s">
        <v>251</v>
      </c>
      <c r="C69" s="6" t="s">
        <v>96</v>
      </c>
      <c r="D69" s="6"/>
      <c r="E69" s="6" t="s">
        <v>22</v>
      </c>
      <c r="F69" s="6"/>
      <c r="G69" s="6" t="s">
        <v>24</v>
      </c>
      <c r="H69" s="7" t="s">
        <v>832</v>
      </c>
      <c r="I69" s="6" t="s">
        <v>651</v>
      </c>
      <c r="J69" s="6" t="s">
        <v>903</v>
      </c>
      <c r="K69" s="6" t="s">
        <v>652</v>
      </c>
      <c r="L69" s="9" t="str">
        <f t="shared" si="6"/>
        <v>https://opencell.czbiohub.org/target/1523</v>
      </c>
      <c r="M69" s="9" t="str">
        <f t="shared" si="7"/>
        <v>https://v20.proteinatlas.org/ENSG00000168476/cell</v>
      </c>
      <c r="N69" s="9" t="str">
        <f t="shared" si="8"/>
        <v>https://www.uniprot.org/uniprot/Q9H6H4</v>
      </c>
    </row>
    <row r="70" spans="1:14" x14ac:dyDescent="0.2">
      <c r="A70" s="6" t="s">
        <v>252</v>
      </c>
      <c r="B70" s="6" t="s">
        <v>253</v>
      </c>
      <c r="C70" s="6" t="s">
        <v>254</v>
      </c>
      <c r="D70" s="6"/>
      <c r="E70" s="6" t="s">
        <v>9</v>
      </c>
      <c r="F70" s="6"/>
      <c r="G70" s="6" t="s">
        <v>24</v>
      </c>
      <c r="H70" s="7" t="s">
        <v>833</v>
      </c>
      <c r="I70" s="6" t="s">
        <v>653</v>
      </c>
      <c r="J70" s="6" t="s">
        <v>904</v>
      </c>
      <c r="K70" s="6" t="s">
        <v>654</v>
      </c>
      <c r="L70" s="9" t="str">
        <f t="shared" si="6"/>
        <v>https://opencell.czbiohub.org/target/1029</v>
      </c>
      <c r="M70" s="9" t="str">
        <f t="shared" si="7"/>
        <v>https://v20.proteinatlas.org/ENSG00000142676/cell</v>
      </c>
      <c r="N70" s="9" t="str">
        <f t="shared" si="8"/>
        <v>https://www.uniprot.org/uniprot/P62913</v>
      </c>
    </row>
    <row r="71" spans="1:14" x14ac:dyDescent="0.2">
      <c r="A71" s="6" t="s">
        <v>255</v>
      </c>
      <c r="B71" s="6" t="s">
        <v>256</v>
      </c>
      <c r="C71" s="6" t="s">
        <v>257</v>
      </c>
      <c r="D71" s="6" t="s">
        <v>27</v>
      </c>
      <c r="E71" s="6" t="s">
        <v>123</v>
      </c>
      <c r="F71" s="6"/>
      <c r="G71" s="6" t="s">
        <v>24</v>
      </c>
      <c r="H71" s="7" t="s">
        <v>258</v>
      </c>
      <c r="I71" s="6" t="s">
        <v>655</v>
      </c>
      <c r="J71" s="6" t="s">
        <v>905</v>
      </c>
      <c r="K71" s="6" t="s">
        <v>656</v>
      </c>
      <c r="L71" s="9" t="str">
        <f t="shared" si="6"/>
        <v>https://opencell.czbiohub.org/target/976</v>
      </c>
      <c r="M71" s="9" t="str">
        <f t="shared" si="7"/>
        <v>https://v20.proteinatlas.org/ENSG00000197747/cell</v>
      </c>
      <c r="N71" s="9" t="str">
        <f t="shared" si="8"/>
        <v>https://www.uniprot.org/uniprot/P60903</v>
      </c>
    </row>
    <row r="72" spans="1:14" x14ac:dyDescent="0.2">
      <c r="A72" s="6" t="s">
        <v>259</v>
      </c>
      <c r="B72" s="6" t="s">
        <v>260</v>
      </c>
      <c r="C72" s="6" t="s">
        <v>27</v>
      </c>
      <c r="D72" s="6"/>
      <c r="E72" s="6" t="s">
        <v>123</v>
      </c>
      <c r="F72" s="6"/>
      <c r="G72" s="6" t="s">
        <v>24</v>
      </c>
      <c r="H72" s="7" t="s">
        <v>261</v>
      </c>
      <c r="I72" s="6" t="s">
        <v>657</v>
      </c>
      <c r="J72" s="6" t="s">
        <v>906</v>
      </c>
      <c r="K72" s="6" t="s">
        <v>658</v>
      </c>
      <c r="L72" s="9" t="str">
        <f t="shared" si="6"/>
        <v>https://opencell.czbiohub.org/target/1310</v>
      </c>
      <c r="M72" s="9" t="str">
        <f t="shared" si="7"/>
        <v>https://v20.proteinatlas.org/ENSG00000110911/cell</v>
      </c>
      <c r="N72" s="9" t="str">
        <f t="shared" si="8"/>
        <v>https://www.uniprot.org/uniprot/P49281</v>
      </c>
    </row>
    <row r="73" spans="1:14" x14ac:dyDescent="0.2">
      <c r="A73" s="6" t="s">
        <v>334</v>
      </c>
      <c r="B73" s="6" t="s">
        <v>335</v>
      </c>
      <c r="C73" s="6" t="s">
        <v>27</v>
      </c>
      <c r="D73" s="6"/>
      <c r="E73" s="6" t="s">
        <v>41</v>
      </c>
      <c r="F73" s="6"/>
      <c r="G73" s="6" t="s">
        <v>24</v>
      </c>
      <c r="H73" s="7" t="s">
        <v>336</v>
      </c>
      <c r="I73" s="6" t="s">
        <v>706</v>
      </c>
      <c r="J73" s="6" t="s">
        <v>907</v>
      </c>
      <c r="K73" s="6" t="s">
        <v>707</v>
      </c>
      <c r="L73" s="9" t="str">
        <f t="shared" si="6"/>
        <v>https://opencell.czbiohub.org/target/1382</v>
      </c>
      <c r="M73" s="9" t="str">
        <f t="shared" si="7"/>
        <v>https://v20.proteinatlas.org/ENSG00000139370/cell</v>
      </c>
      <c r="N73" s="9" t="str">
        <f t="shared" si="8"/>
        <v>https://www.uniprot.org/uniprot/Q8N697</v>
      </c>
    </row>
    <row r="74" spans="1:14" x14ac:dyDescent="0.2">
      <c r="A74" s="6" t="s">
        <v>262</v>
      </c>
      <c r="B74" s="6" t="s">
        <v>263</v>
      </c>
      <c r="C74" s="6" t="s">
        <v>264</v>
      </c>
      <c r="D74" s="6"/>
      <c r="E74" s="6" t="s">
        <v>123</v>
      </c>
      <c r="F74" s="6" t="s">
        <v>50</v>
      </c>
      <c r="G74" s="6" t="s">
        <v>24</v>
      </c>
      <c r="H74" s="7" t="s">
        <v>265</v>
      </c>
      <c r="I74" s="6" t="s">
        <v>659</v>
      </c>
      <c r="J74" s="6" t="s">
        <v>908</v>
      </c>
      <c r="K74" s="6" t="s">
        <v>660</v>
      </c>
      <c r="L74" s="9" t="str">
        <f t="shared" si="6"/>
        <v>https://opencell.czbiohub.org/target/1317</v>
      </c>
      <c r="M74" s="9" t="str">
        <f t="shared" si="7"/>
        <v>https://v20.proteinatlas.org/ENSG00000079215/cell</v>
      </c>
      <c r="N74" s="9" t="str">
        <f t="shared" si="8"/>
        <v>https://www.uniprot.org/uniprot/P43003</v>
      </c>
    </row>
    <row r="75" spans="1:14" x14ac:dyDescent="0.2">
      <c r="A75" s="6" t="s">
        <v>266</v>
      </c>
      <c r="B75" s="6" t="s">
        <v>267</v>
      </c>
      <c r="C75" s="6" t="s">
        <v>264</v>
      </c>
      <c r="D75" s="6"/>
      <c r="E75" s="6" t="s">
        <v>22</v>
      </c>
      <c r="F75" s="6"/>
      <c r="G75" s="6" t="s">
        <v>24</v>
      </c>
      <c r="H75" s="7" t="s">
        <v>268</v>
      </c>
      <c r="I75" s="6" t="s">
        <v>661</v>
      </c>
      <c r="J75" s="6" t="s">
        <v>909</v>
      </c>
      <c r="K75" s="6" t="s">
        <v>662</v>
      </c>
      <c r="L75" s="9" t="str">
        <f t="shared" si="6"/>
        <v>https://opencell.czbiohub.org/target/1321</v>
      </c>
      <c r="M75" s="9" t="str">
        <f t="shared" si="7"/>
        <v>https://v20.proteinatlas.org/ENSG00000225697/cell</v>
      </c>
      <c r="N75" s="9" t="str">
        <f t="shared" si="8"/>
        <v>https://www.uniprot.org/uniprot/Q9BXS9</v>
      </c>
    </row>
    <row r="76" spans="1:14" x14ac:dyDescent="0.2">
      <c r="A76" s="6" t="s">
        <v>269</v>
      </c>
      <c r="B76" s="6" t="s">
        <v>270</v>
      </c>
      <c r="C76" s="6" t="s">
        <v>122</v>
      </c>
      <c r="D76" s="6"/>
      <c r="E76" s="6" t="s">
        <v>41</v>
      </c>
      <c r="F76" s="6"/>
      <c r="G76" s="6" t="s">
        <v>24</v>
      </c>
      <c r="H76" s="7" t="s">
        <v>271</v>
      </c>
      <c r="I76" s="6" t="s">
        <v>663</v>
      </c>
      <c r="J76" s="6" t="s">
        <v>910</v>
      </c>
      <c r="K76" s="6" t="s">
        <v>664</v>
      </c>
      <c r="L76" s="9" t="str">
        <f t="shared" si="6"/>
        <v>https://opencell.czbiohub.org/target/1332</v>
      </c>
      <c r="M76" s="9" t="str">
        <f t="shared" si="7"/>
        <v>https://v20.proteinatlas.org/ENSG00000169359/cell</v>
      </c>
      <c r="N76" s="9" t="str">
        <f t="shared" si="8"/>
        <v>https://www.uniprot.org/uniprot/O00400</v>
      </c>
    </row>
    <row r="77" spans="1:14" x14ac:dyDescent="0.2">
      <c r="A77" s="6" t="s">
        <v>272</v>
      </c>
      <c r="B77" s="6" t="s">
        <v>273</v>
      </c>
      <c r="C77" s="6" t="s">
        <v>274</v>
      </c>
      <c r="D77" s="6"/>
      <c r="E77" s="6" t="s">
        <v>123</v>
      </c>
      <c r="F77" s="6"/>
      <c r="G77" s="6" t="s">
        <v>24</v>
      </c>
      <c r="H77" s="7" t="s">
        <v>275</v>
      </c>
      <c r="I77" s="6" t="s">
        <v>665</v>
      </c>
      <c r="J77" s="6" t="s">
        <v>911</v>
      </c>
      <c r="K77" s="6" t="s">
        <v>666</v>
      </c>
      <c r="L77" s="9" t="str">
        <f t="shared" si="6"/>
        <v>https://opencell.czbiohub.org/target/1343</v>
      </c>
      <c r="M77" s="9" t="str">
        <f t="shared" si="7"/>
        <v>https://v20.proteinatlas.org/ENSG00000110660/cell</v>
      </c>
      <c r="N77" s="9" t="str">
        <f t="shared" si="8"/>
        <v>https://www.uniprot.org/uniprot/Q8IXU6</v>
      </c>
    </row>
    <row r="78" spans="1:14" x14ac:dyDescent="0.2">
      <c r="A78" s="6" t="s">
        <v>276</v>
      </c>
      <c r="B78" s="6" t="s">
        <v>277</v>
      </c>
      <c r="C78" s="6" t="s">
        <v>54</v>
      </c>
      <c r="D78" s="6"/>
      <c r="E78" s="6" t="s">
        <v>22</v>
      </c>
      <c r="F78" s="6"/>
      <c r="G78" s="6" t="s">
        <v>24</v>
      </c>
      <c r="H78" s="7" t="s">
        <v>278</v>
      </c>
      <c r="I78" s="6" t="s">
        <v>667</v>
      </c>
      <c r="J78" s="6" t="s">
        <v>912</v>
      </c>
      <c r="K78" s="6" t="s">
        <v>668</v>
      </c>
      <c r="L78" s="9" t="str">
        <f t="shared" si="6"/>
        <v>https://opencell.czbiohub.org/target/1459</v>
      </c>
      <c r="M78" s="9" t="str">
        <f t="shared" si="7"/>
        <v>https://v20.proteinatlas.org/ENSG00000125743/cell</v>
      </c>
      <c r="N78" s="9" t="str">
        <f t="shared" si="8"/>
        <v>https://www.uniprot.org/uniprot/P62316</v>
      </c>
    </row>
    <row r="79" spans="1:14" x14ac:dyDescent="0.2">
      <c r="A79" s="6" t="s">
        <v>279</v>
      </c>
      <c r="B79" s="6" t="s">
        <v>280</v>
      </c>
      <c r="C79" s="6" t="s">
        <v>27</v>
      </c>
      <c r="D79" s="6"/>
      <c r="E79" s="6" t="s">
        <v>22</v>
      </c>
      <c r="F79" s="6"/>
      <c r="G79" s="6" t="s">
        <v>24</v>
      </c>
      <c r="H79" s="7" t="s">
        <v>281</v>
      </c>
      <c r="I79" s="6" t="s">
        <v>669</v>
      </c>
      <c r="J79" s="6" t="s">
        <v>913</v>
      </c>
      <c r="K79" s="6" t="s">
        <v>670</v>
      </c>
      <c r="L79" s="9" t="str">
        <f t="shared" si="6"/>
        <v>https://opencell.czbiohub.org/target/686</v>
      </c>
      <c r="M79" s="9" t="str">
        <f t="shared" si="7"/>
        <v>https://v20.proteinatlas.org/ENSG00000002919/cell</v>
      </c>
      <c r="N79" s="9" t="str">
        <f t="shared" si="8"/>
        <v>https://www.uniprot.org/uniprot/Q9Y5W9</v>
      </c>
    </row>
    <row r="80" spans="1:14" x14ac:dyDescent="0.2">
      <c r="A80" s="6" t="s">
        <v>282</v>
      </c>
      <c r="B80" s="6" t="s">
        <v>283</v>
      </c>
      <c r="C80" s="6" t="s">
        <v>27</v>
      </c>
      <c r="D80" s="6"/>
      <c r="E80" s="6" t="s">
        <v>59</v>
      </c>
      <c r="F80" s="6"/>
      <c r="G80" s="6" t="s">
        <v>24</v>
      </c>
      <c r="H80" s="7" t="s">
        <v>284</v>
      </c>
      <c r="I80" s="6" t="s">
        <v>671</v>
      </c>
      <c r="J80" s="6" t="s">
        <v>914</v>
      </c>
      <c r="K80" s="6" t="s">
        <v>672</v>
      </c>
      <c r="L80" s="9" t="str">
        <f t="shared" si="6"/>
        <v>https://opencell.czbiohub.org/target/693</v>
      </c>
      <c r="M80" s="9" t="str">
        <f t="shared" si="7"/>
        <v>https://v20.proteinatlas.org/ENSG00000143376/cell</v>
      </c>
      <c r="N80" s="9" t="str">
        <f t="shared" si="8"/>
        <v>https://www.uniprot.org/uniprot/Q96L92</v>
      </c>
    </row>
    <row r="81" spans="1:14" x14ac:dyDescent="0.2">
      <c r="A81" s="6" t="s">
        <v>285</v>
      </c>
      <c r="B81" s="6" t="s">
        <v>286</v>
      </c>
      <c r="C81" s="6" t="s">
        <v>27</v>
      </c>
      <c r="D81" s="6" t="s">
        <v>21</v>
      </c>
      <c r="E81" s="6" t="s">
        <v>41</v>
      </c>
      <c r="F81" s="6" t="s">
        <v>22</v>
      </c>
      <c r="G81" s="6" t="s">
        <v>24</v>
      </c>
      <c r="H81" s="7" t="s">
        <v>287</v>
      </c>
      <c r="I81" s="6" t="s">
        <v>673</v>
      </c>
      <c r="J81" s="6" t="s">
        <v>915</v>
      </c>
      <c r="K81" s="6" t="s">
        <v>674</v>
      </c>
      <c r="L81" s="9" t="str">
        <f t="shared" si="6"/>
        <v>https://opencell.czbiohub.org/target/784</v>
      </c>
      <c r="M81" s="9" t="str">
        <f t="shared" si="7"/>
        <v>https://v20.proteinatlas.org/ENSG00000021574/cell</v>
      </c>
      <c r="N81" s="9" t="str">
        <f t="shared" si="8"/>
        <v>https://www.uniprot.org/uniprot/Q9UBP0</v>
      </c>
    </row>
    <row r="82" spans="1:14" x14ac:dyDescent="0.2">
      <c r="A82" s="6" t="s">
        <v>288</v>
      </c>
      <c r="B82" s="6" t="s">
        <v>289</v>
      </c>
      <c r="C82" s="6" t="s">
        <v>63</v>
      </c>
      <c r="D82" s="6"/>
      <c r="E82" s="6" t="s">
        <v>123</v>
      </c>
      <c r="F82" s="6"/>
      <c r="G82" s="6" t="s">
        <v>24</v>
      </c>
      <c r="H82" s="7" t="s">
        <v>834</v>
      </c>
      <c r="I82" s="6" t="s">
        <v>675</v>
      </c>
      <c r="J82" s="6" t="s">
        <v>916</v>
      </c>
      <c r="K82" s="6" t="s">
        <v>676</v>
      </c>
      <c r="L82" s="9" t="str">
        <f t="shared" si="6"/>
        <v>https://opencell.czbiohub.org/target/293</v>
      </c>
      <c r="M82" s="9" t="str">
        <f t="shared" si="7"/>
        <v>https://v20.proteinatlas.org/ENSG00000100596/cell</v>
      </c>
      <c r="N82" s="9" t="str">
        <f t="shared" si="8"/>
        <v>https://www.uniprot.org/uniprot/O15270</v>
      </c>
    </row>
    <row r="83" spans="1:14" x14ac:dyDescent="0.2">
      <c r="A83" s="6" t="s">
        <v>290</v>
      </c>
      <c r="B83" s="6" t="s">
        <v>291</v>
      </c>
      <c r="C83" s="6" t="s">
        <v>63</v>
      </c>
      <c r="D83" s="6"/>
      <c r="E83" s="6" t="s">
        <v>22</v>
      </c>
      <c r="F83" s="6" t="s">
        <v>50</v>
      </c>
      <c r="G83" s="6" t="s">
        <v>24</v>
      </c>
      <c r="H83" s="7" t="s">
        <v>292</v>
      </c>
      <c r="I83" s="6" t="s">
        <v>677</v>
      </c>
      <c r="J83" s="6" t="s">
        <v>917</v>
      </c>
      <c r="K83" s="6" t="s">
        <v>678</v>
      </c>
      <c r="L83" s="9" t="str">
        <f t="shared" si="6"/>
        <v>https://opencell.czbiohub.org/target/1105</v>
      </c>
      <c r="M83" s="9" t="str">
        <f t="shared" si="7"/>
        <v>https://v20.proteinatlas.org/ENSG00000100883/cell</v>
      </c>
      <c r="N83" s="9" t="str">
        <f t="shared" si="8"/>
        <v>https://www.uniprot.org/uniprot/P61011</v>
      </c>
    </row>
    <row r="84" spans="1:14" x14ac:dyDescent="0.2">
      <c r="A84" s="6" t="s">
        <v>293</v>
      </c>
      <c r="B84" s="6" t="s">
        <v>294</v>
      </c>
      <c r="C84" s="6" t="s">
        <v>63</v>
      </c>
      <c r="D84" s="6"/>
      <c r="E84" s="6" t="s">
        <v>16</v>
      </c>
      <c r="F84" s="6"/>
      <c r="G84" s="6" t="s">
        <v>24</v>
      </c>
      <c r="H84" s="7" t="s">
        <v>295</v>
      </c>
      <c r="I84" s="6" t="s">
        <v>679</v>
      </c>
      <c r="J84" s="6" t="s">
        <v>918</v>
      </c>
      <c r="K84" s="6" t="s">
        <v>680</v>
      </c>
      <c r="L84" s="9" t="str">
        <f t="shared" si="6"/>
        <v>https://opencell.czbiohub.org/target/1599</v>
      </c>
      <c r="M84" s="9" t="str">
        <f t="shared" si="7"/>
        <v>https://v20.proteinatlas.org/ENSG00000144867/cell</v>
      </c>
      <c r="N84" s="9" t="str">
        <f t="shared" si="8"/>
        <v>https://www.uniprot.org/uniprot/Q9Y5M8</v>
      </c>
    </row>
    <row r="85" spans="1:14" x14ac:dyDescent="0.2">
      <c r="A85" s="6" t="s">
        <v>296</v>
      </c>
      <c r="B85" s="6" t="s">
        <v>297</v>
      </c>
      <c r="C85" s="6" t="s">
        <v>63</v>
      </c>
      <c r="D85" s="6"/>
      <c r="E85" s="6" t="s">
        <v>59</v>
      </c>
      <c r="F85" s="6" t="s">
        <v>9</v>
      </c>
      <c r="G85" s="6" t="s">
        <v>24</v>
      </c>
      <c r="H85" s="7" t="s">
        <v>298</v>
      </c>
      <c r="I85" s="6" t="s">
        <v>681</v>
      </c>
      <c r="J85" s="6" t="s">
        <v>919</v>
      </c>
      <c r="K85" s="6" t="s">
        <v>682</v>
      </c>
      <c r="L85" s="9" t="str">
        <f t="shared" si="6"/>
        <v>https://opencell.czbiohub.org/target/181</v>
      </c>
      <c r="M85" s="9" t="str">
        <f t="shared" si="7"/>
        <v>https://v20.proteinatlas.org/ENSG00000134910/cell</v>
      </c>
      <c r="N85" s="9" t="str">
        <f t="shared" si="8"/>
        <v>https://www.uniprot.org/uniprot/P46977</v>
      </c>
    </row>
    <row r="86" spans="1:14" x14ac:dyDescent="0.2">
      <c r="A86" s="6" t="s">
        <v>299</v>
      </c>
      <c r="B86" s="6" t="s">
        <v>300</v>
      </c>
      <c r="C86" s="6" t="s">
        <v>63</v>
      </c>
      <c r="D86" s="6"/>
      <c r="E86" s="6" t="s">
        <v>16</v>
      </c>
      <c r="F86" s="6"/>
      <c r="G86" s="6" t="s">
        <v>24</v>
      </c>
      <c r="H86" s="7" t="s">
        <v>173</v>
      </c>
      <c r="I86" s="6" t="s">
        <v>683</v>
      </c>
      <c r="J86" s="6" t="s">
        <v>920</v>
      </c>
      <c r="K86" s="6" t="s">
        <v>684</v>
      </c>
      <c r="L86" s="9" t="str">
        <f t="shared" si="6"/>
        <v>https://opencell.czbiohub.org/target/758</v>
      </c>
      <c r="M86" s="9" t="str">
        <f t="shared" si="7"/>
        <v>https://v20.proteinatlas.org/ENSG00000168818/cell</v>
      </c>
      <c r="N86" s="9" t="str">
        <f t="shared" si="8"/>
        <v>https://www.uniprot.org/uniprot/Q9P2W9</v>
      </c>
    </row>
    <row r="87" spans="1:14" x14ac:dyDescent="0.2">
      <c r="A87" s="6" t="s">
        <v>301</v>
      </c>
      <c r="B87" s="6" t="s">
        <v>302</v>
      </c>
      <c r="C87" s="6" t="s">
        <v>63</v>
      </c>
      <c r="D87" s="6"/>
      <c r="E87" s="6" t="s">
        <v>41</v>
      </c>
      <c r="F87" s="6" t="s">
        <v>303</v>
      </c>
      <c r="G87" s="6" t="s">
        <v>24</v>
      </c>
      <c r="H87" s="7" t="s">
        <v>304</v>
      </c>
      <c r="I87" s="6" t="s">
        <v>685</v>
      </c>
      <c r="J87" s="6" t="s">
        <v>921</v>
      </c>
      <c r="K87" s="6" t="s">
        <v>686</v>
      </c>
      <c r="L87" s="9" t="str">
        <f t="shared" si="6"/>
        <v>https://opencell.czbiohub.org/target/363</v>
      </c>
      <c r="M87" s="9" t="str">
        <f t="shared" si="7"/>
        <v>https://v20.proteinatlas.org/ENSG00000162298/cell</v>
      </c>
      <c r="N87" s="9" t="str">
        <f t="shared" si="8"/>
        <v>https://www.uniprot.org/uniprot/Q86TM6</v>
      </c>
    </row>
    <row r="88" spans="1:14" x14ac:dyDescent="0.2">
      <c r="A88" s="6" t="s">
        <v>305</v>
      </c>
      <c r="B88" s="6" t="s">
        <v>306</v>
      </c>
      <c r="C88" s="6" t="s">
        <v>68</v>
      </c>
      <c r="D88" s="6"/>
      <c r="E88" s="6" t="s">
        <v>111</v>
      </c>
      <c r="F88" s="6" t="s">
        <v>201</v>
      </c>
      <c r="G88" s="6" t="s">
        <v>24</v>
      </c>
      <c r="H88" s="7" t="s">
        <v>307</v>
      </c>
      <c r="I88" s="6" t="s">
        <v>687</v>
      </c>
      <c r="J88" s="6" t="s">
        <v>922</v>
      </c>
      <c r="K88" s="6" t="s">
        <v>688</v>
      </c>
      <c r="L88" s="9" t="str">
        <f t="shared" si="6"/>
        <v>https://opencell.czbiohub.org/target/1729</v>
      </c>
      <c r="M88" s="9" t="str">
        <f t="shared" si="7"/>
        <v>https://v20.proteinatlas.org/ENSG00000147601/cell</v>
      </c>
      <c r="N88" s="9" t="str">
        <f t="shared" si="8"/>
        <v>https://www.uniprot.org/uniprot/P54274</v>
      </c>
    </row>
    <row r="89" spans="1:14" x14ac:dyDescent="0.2">
      <c r="A89" s="6" t="s">
        <v>308</v>
      </c>
      <c r="B89" s="6" t="s">
        <v>309</v>
      </c>
      <c r="C89" s="6" t="s">
        <v>310</v>
      </c>
      <c r="D89" s="6"/>
      <c r="E89" s="6" t="s">
        <v>9</v>
      </c>
      <c r="F89" s="6"/>
      <c r="G89" s="6" t="s">
        <v>24</v>
      </c>
      <c r="H89" s="7" t="s">
        <v>311</v>
      </c>
      <c r="I89" s="6" t="s">
        <v>689</v>
      </c>
      <c r="J89" s="6" t="s">
        <v>923</v>
      </c>
      <c r="K89" s="6" t="s">
        <v>690</v>
      </c>
      <c r="L89" s="9" t="str">
        <f t="shared" si="6"/>
        <v>https://opencell.czbiohub.org/target/86</v>
      </c>
      <c r="M89" s="9" t="str">
        <f t="shared" si="7"/>
        <v>https://v20.proteinatlas.org/ENSG00000213585/cell</v>
      </c>
      <c r="N89" s="9" t="str">
        <f t="shared" si="8"/>
        <v>https://www.uniprot.org/uniprot/P21796</v>
      </c>
    </row>
    <row r="90" spans="1:14" x14ac:dyDescent="0.2">
      <c r="A90" s="6" t="s">
        <v>312</v>
      </c>
      <c r="B90" s="6" t="s">
        <v>313</v>
      </c>
      <c r="C90" s="6" t="s">
        <v>49</v>
      </c>
      <c r="D90" s="6" t="s">
        <v>15</v>
      </c>
      <c r="E90" s="6" t="s">
        <v>41</v>
      </c>
      <c r="F90" s="6"/>
      <c r="G90" s="6" t="s">
        <v>24</v>
      </c>
      <c r="H90" s="7" t="s">
        <v>314</v>
      </c>
      <c r="I90" s="6" t="s">
        <v>691</v>
      </c>
      <c r="J90" s="6" t="s">
        <v>924</v>
      </c>
      <c r="K90" s="6" t="s">
        <v>692</v>
      </c>
      <c r="L90" s="9" t="str">
        <f t="shared" si="6"/>
        <v>https://opencell.czbiohub.org/target/1859</v>
      </c>
      <c r="M90" s="9" t="str">
        <f t="shared" si="7"/>
        <v>https://v20.proteinatlas.org/ENSG00000139719/cell</v>
      </c>
      <c r="N90" s="9" t="str">
        <f t="shared" si="8"/>
        <v>https://www.uniprot.org/uniprot/Q96AX1</v>
      </c>
    </row>
    <row r="91" spans="1:14" x14ac:dyDescent="0.2">
      <c r="A91" s="6" t="s">
        <v>315</v>
      </c>
      <c r="B91" s="6" t="s">
        <v>316</v>
      </c>
      <c r="C91" s="6" t="s">
        <v>27</v>
      </c>
      <c r="D91" s="6"/>
      <c r="E91" s="6" t="s">
        <v>22</v>
      </c>
      <c r="F91" s="6" t="s">
        <v>16</v>
      </c>
      <c r="G91" s="6" t="s">
        <v>24</v>
      </c>
      <c r="H91" s="7" t="s">
        <v>317</v>
      </c>
      <c r="I91" s="6" t="s">
        <v>693</v>
      </c>
      <c r="J91" s="6" t="s">
        <v>925</v>
      </c>
      <c r="K91" s="6" t="s">
        <v>694</v>
      </c>
      <c r="L91" s="9" t="str">
        <f t="shared" si="6"/>
        <v>https://opencell.czbiohub.org/target/1787</v>
      </c>
      <c r="M91" s="9" t="str">
        <f t="shared" si="7"/>
        <v>https://v20.proteinatlas.org/ENSG00000156931/cell</v>
      </c>
      <c r="N91" s="9" t="str">
        <f t="shared" si="8"/>
        <v>https://www.uniprot.org/uniprot/Q8N3P4</v>
      </c>
    </row>
    <row r="92" spans="1:14" x14ac:dyDescent="0.2">
      <c r="A92" s="6" t="s">
        <v>318</v>
      </c>
      <c r="B92" s="6" t="s">
        <v>319</v>
      </c>
      <c r="C92" s="6" t="s">
        <v>127</v>
      </c>
      <c r="D92" s="6"/>
      <c r="E92" s="6" t="s">
        <v>41</v>
      </c>
      <c r="F92" s="6"/>
      <c r="G92" s="6" t="s">
        <v>24</v>
      </c>
      <c r="H92" s="7" t="s">
        <v>695</v>
      </c>
      <c r="I92" s="6" t="s">
        <v>696</v>
      </c>
      <c r="J92" s="6" t="s">
        <v>926</v>
      </c>
      <c r="K92" s="6" t="s">
        <v>697</v>
      </c>
      <c r="L92" s="9" t="str">
        <f t="shared" si="6"/>
        <v>https://opencell.czbiohub.org/target/1102</v>
      </c>
      <c r="M92" s="9" t="str">
        <f t="shared" si="7"/>
        <v>https://v20.proteinatlas.org/ENSG00000115368/cell</v>
      </c>
      <c r="N92" s="9" t="str">
        <f t="shared" si="8"/>
        <v>https://www.uniprot.org/uniprot/Q8IWA0</v>
      </c>
    </row>
    <row r="93" spans="1:14" x14ac:dyDescent="0.2">
      <c r="A93" s="6" t="s">
        <v>349</v>
      </c>
      <c r="B93" s="6" t="s">
        <v>350</v>
      </c>
      <c r="C93" s="6" t="s">
        <v>63</v>
      </c>
      <c r="D93" s="6"/>
      <c r="E93" s="6" t="s">
        <v>351</v>
      </c>
      <c r="F93" s="6"/>
      <c r="G93" s="6" t="s">
        <v>342</v>
      </c>
      <c r="H93" s="7" t="s">
        <v>352</v>
      </c>
      <c r="I93" s="6" t="s">
        <v>714</v>
      </c>
      <c r="J93" s="6" t="s">
        <v>927</v>
      </c>
      <c r="K93" s="6" t="s">
        <v>715</v>
      </c>
      <c r="L93" s="9" t="str">
        <f t="shared" si="6"/>
        <v>https://opencell.czbiohub.org/target/957</v>
      </c>
      <c r="M93" s="9" t="str">
        <f t="shared" si="7"/>
        <v>https://v20.proteinatlas.org/ENSG00000119523/cell</v>
      </c>
      <c r="N93" s="9" t="str">
        <f t="shared" si="8"/>
        <v>https://www.uniprot.org/uniprot/Q9H553</v>
      </c>
    </row>
    <row r="94" spans="1:14" x14ac:dyDescent="0.2">
      <c r="A94" s="6" t="s">
        <v>353</v>
      </c>
      <c r="B94" s="6" t="s">
        <v>354</v>
      </c>
      <c r="C94" s="6" t="s">
        <v>14</v>
      </c>
      <c r="D94" s="6" t="s">
        <v>15</v>
      </c>
      <c r="E94" s="6" t="s">
        <v>355</v>
      </c>
      <c r="F94" s="6"/>
      <c r="G94" s="6" t="s">
        <v>342</v>
      </c>
      <c r="H94" s="7" t="s">
        <v>356</v>
      </c>
      <c r="I94" s="6" t="s">
        <v>716</v>
      </c>
      <c r="J94" s="6" t="s">
        <v>928</v>
      </c>
      <c r="K94" s="6" t="s">
        <v>717</v>
      </c>
      <c r="L94" s="9" t="str">
        <f t="shared" si="6"/>
        <v>https://opencell.czbiohub.org/target/1391</v>
      </c>
      <c r="M94" s="9" t="str">
        <f t="shared" si="7"/>
        <v>https://v20.proteinatlas.org/ENSG00000139645/cell</v>
      </c>
      <c r="N94" s="9" t="str">
        <f t="shared" si="8"/>
        <v>https://www.uniprot.org/uniprot/Q8NB46</v>
      </c>
    </row>
    <row r="95" spans="1:14" x14ac:dyDescent="0.2">
      <c r="A95" s="6" t="s">
        <v>357</v>
      </c>
      <c r="B95" s="6" t="s">
        <v>358</v>
      </c>
      <c r="C95" s="6" t="s">
        <v>14</v>
      </c>
      <c r="D95" s="6"/>
      <c r="E95" s="6" t="s">
        <v>111</v>
      </c>
      <c r="F95" s="6" t="s">
        <v>41</v>
      </c>
      <c r="G95" s="6" t="s">
        <v>342</v>
      </c>
      <c r="H95" s="7" t="s">
        <v>985</v>
      </c>
      <c r="I95" s="6" t="s">
        <v>718</v>
      </c>
      <c r="J95" s="6" t="s">
        <v>929</v>
      </c>
      <c r="K95" s="6" t="s">
        <v>719</v>
      </c>
      <c r="L95" s="9" t="str">
        <f t="shared" si="6"/>
        <v>https://opencell.czbiohub.org/target/1126</v>
      </c>
      <c r="M95" s="9" t="str">
        <f t="shared" si="7"/>
        <v>https://v20.proteinatlas.org/ENSG00000078061/cell</v>
      </c>
      <c r="N95" s="9" t="str">
        <f t="shared" si="8"/>
        <v>https://www.uniprot.org/uniprot/P10398</v>
      </c>
    </row>
    <row r="96" spans="1:14" x14ac:dyDescent="0.2">
      <c r="A96" s="6" t="s">
        <v>360</v>
      </c>
      <c r="B96" s="6" t="s">
        <v>361</v>
      </c>
      <c r="C96" s="6" t="s">
        <v>362</v>
      </c>
      <c r="D96" s="6"/>
      <c r="E96" s="6" t="s">
        <v>22</v>
      </c>
      <c r="F96" s="6" t="s">
        <v>16</v>
      </c>
      <c r="G96" s="6" t="s">
        <v>342</v>
      </c>
      <c r="H96" s="7" t="s">
        <v>363</v>
      </c>
      <c r="I96" s="6" t="s">
        <v>720</v>
      </c>
      <c r="J96" s="6" t="s">
        <v>930</v>
      </c>
      <c r="K96" s="6" t="s">
        <v>721</v>
      </c>
      <c r="L96" s="9" t="str">
        <f t="shared" si="6"/>
        <v>https://opencell.czbiohub.org/target/1642</v>
      </c>
      <c r="M96" s="9" t="str">
        <f t="shared" si="7"/>
        <v>https://v20.proteinatlas.org/ENSG00000185344/cell</v>
      </c>
      <c r="N96" s="9" t="str">
        <f t="shared" si="8"/>
        <v>https://www.uniprot.org/uniprot/Q9Y487</v>
      </c>
    </row>
    <row r="97" spans="1:14" x14ac:dyDescent="0.2">
      <c r="A97" s="6" t="s">
        <v>364</v>
      </c>
      <c r="B97" s="6" t="s">
        <v>365</v>
      </c>
      <c r="C97" s="6" t="s">
        <v>366</v>
      </c>
      <c r="D97" s="6" t="s">
        <v>153</v>
      </c>
      <c r="E97" s="6" t="s">
        <v>9</v>
      </c>
      <c r="F97" s="6"/>
      <c r="G97" s="6" t="s">
        <v>342</v>
      </c>
      <c r="H97" s="7" t="s">
        <v>835</v>
      </c>
      <c r="I97" s="6" t="s">
        <v>722</v>
      </c>
      <c r="J97" s="6" t="s">
        <v>931</v>
      </c>
      <c r="K97" s="6" t="s">
        <v>723</v>
      </c>
      <c r="L97" s="9" t="str">
        <f t="shared" si="6"/>
        <v>https://opencell.czbiohub.org/target/357</v>
      </c>
      <c r="M97" s="9" t="str">
        <f t="shared" si="7"/>
        <v>https://v20.proteinatlas.org/ENSG00000198668/cell</v>
      </c>
      <c r="N97" s="9" t="str">
        <f t="shared" si="8"/>
        <v>https://www.uniprot.org/uniprot/P0DP23</v>
      </c>
    </row>
    <row r="98" spans="1:14" x14ac:dyDescent="0.2">
      <c r="A98" s="6" t="s">
        <v>367</v>
      </c>
      <c r="B98" s="6" t="s">
        <v>368</v>
      </c>
      <c r="C98" s="6" t="s">
        <v>369</v>
      </c>
      <c r="D98" s="6"/>
      <c r="E98" s="6" t="s">
        <v>22</v>
      </c>
      <c r="F98" s="6" t="s">
        <v>41</v>
      </c>
      <c r="G98" s="6" t="s">
        <v>342</v>
      </c>
      <c r="H98" s="7" t="s">
        <v>370</v>
      </c>
      <c r="I98" s="6" t="s">
        <v>724</v>
      </c>
      <c r="J98" s="6" t="s">
        <v>932</v>
      </c>
      <c r="K98" s="6" t="s">
        <v>725</v>
      </c>
      <c r="L98" s="9" t="str">
        <f t="shared" ref="L98:L129" si="9">HYPERLINK(I98)</f>
        <v>https://opencell.czbiohub.org/target/522</v>
      </c>
      <c r="M98" s="9" t="str">
        <f t="shared" ref="M98:M129" si="10">HYPERLINK(J98)</f>
        <v>https://v20.proteinatlas.org/ENSG00000136279/cell</v>
      </c>
      <c r="N98" s="9" t="str">
        <f t="shared" ref="N98:N129" si="11">HYPERLINK(K98)</f>
        <v>https://www.uniprot.org/uniprot/Q9UJU6</v>
      </c>
    </row>
    <row r="99" spans="1:14" x14ac:dyDescent="0.2">
      <c r="A99" s="6" t="s">
        <v>371</v>
      </c>
      <c r="B99" s="6" t="s">
        <v>372</v>
      </c>
      <c r="C99" s="6" t="s">
        <v>14</v>
      </c>
      <c r="D99" s="6"/>
      <c r="E99" s="6" t="s">
        <v>41</v>
      </c>
      <c r="F99" s="6"/>
      <c r="G99" s="6" t="s">
        <v>342</v>
      </c>
      <c r="H99" s="7" t="s">
        <v>373</v>
      </c>
      <c r="I99" s="6" t="s">
        <v>726</v>
      </c>
      <c r="J99" s="6" t="s">
        <v>933</v>
      </c>
      <c r="K99" s="6" t="s">
        <v>727</v>
      </c>
      <c r="L99" s="9" t="str">
        <f t="shared" si="9"/>
        <v>https://opencell.czbiohub.org/target/523</v>
      </c>
      <c r="M99" s="9" t="str">
        <f t="shared" si="10"/>
        <v>https://v20.proteinatlas.org/ENSG00000106976/cell</v>
      </c>
      <c r="N99" s="9" t="str">
        <f t="shared" si="11"/>
        <v>https://www.uniprot.org/uniprot/Q05193</v>
      </c>
    </row>
    <row r="100" spans="1:14" x14ac:dyDescent="0.2">
      <c r="A100" s="6" t="s">
        <v>374</v>
      </c>
      <c r="B100" s="6" t="s">
        <v>375</v>
      </c>
      <c r="C100" s="6" t="s">
        <v>27</v>
      </c>
      <c r="D100" s="6" t="s">
        <v>63</v>
      </c>
      <c r="E100" s="6" t="s">
        <v>41</v>
      </c>
      <c r="F100" s="6" t="s">
        <v>22</v>
      </c>
      <c r="G100" s="6" t="s">
        <v>342</v>
      </c>
      <c r="H100" s="7" t="s">
        <v>376</v>
      </c>
      <c r="I100" s="6" t="s">
        <v>728</v>
      </c>
      <c r="J100" s="6" t="s">
        <v>934</v>
      </c>
      <c r="K100" s="6" t="s">
        <v>729</v>
      </c>
      <c r="L100" s="9" t="str">
        <f t="shared" si="9"/>
        <v>https://opencell.czbiohub.org/target/370</v>
      </c>
      <c r="M100" s="9" t="str">
        <f t="shared" si="10"/>
        <v>https://v20.proteinatlas.org/ENSG00000133935/cell</v>
      </c>
      <c r="N100" s="9" t="str">
        <f t="shared" si="11"/>
        <v>https://www.uniprot.org/uniprot/Q9UKR5</v>
      </c>
    </row>
    <row r="101" spans="1:14" x14ac:dyDescent="0.2">
      <c r="A101" s="6" t="s">
        <v>377</v>
      </c>
      <c r="B101" s="6" t="s">
        <v>378</v>
      </c>
      <c r="C101" s="6" t="s">
        <v>14</v>
      </c>
      <c r="D101" s="6" t="s">
        <v>15</v>
      </c>
      <c r="E101" s="6" t="s">
        <v>41</v>
      </c>
      <c r="F101" s="6"/>
      <c r="G101" s="6" t="s">
        <v>342</v>
      </c>
      <c r="H101" s="7" t="s">
        <v>836</v>
      </c>
      <c r="I101" s="6" t="s">
        <v>730</v>
      </c>
      <c r="J101" s="6" t="s">
        <v>935</v>
      </c>
      <c r="K101" s="6" t="s">
        <v>731</v>
      </c>
      <c r="L101" s="9" t="str">
        <f t="shared" si="9"/>
        <v>https://opencell.czbiohub.org/target/1183</v>
      </c>
      <c r="M101" s="9" t="str">
        <f t="shared" si="10"/>
        <v>https://v20.proteinatlas.org/ENSG00000082701/cell</v>
      </c>
      <c r="N101" s="9" t="str">
        <f t="shared" si="11"/>
        <v>https://www.uniprot.org/uniprot/P49841</v>
      </c>
    </row>
    <row r="102" spans="1:14" x14ac:dyDescent="0.2">
      <c r="A102" s="6" t="s">
        <v>379</v>
      </c>
      <c r="B102" s="6" t="s">
        <v>380</v>
      </c>
      <c r="C102" s="6" t="s">
        <v>381</v>
      </c>
      <c r="D102" s="6" t="s">
        <v>21</v>
      </c>
      <c r="E102" s="6" t="s">
        <v>22</v>
      </c>
      <c r="F102" s="6"/>
      <c r="G102" s="6" t="s">
        <v>342</v>
      </c>
      <c r="H102" s="7" t="s">
        <v>382</v>
      </c>
      <c r="I102" s="6" t="s">
        <v>732</v>
      </c>
      <c r="J102" s="6" t="s">
        <v>936</v>
      </c>
      <c r="K102" s="6" t="s">
        <v>733</v>
      </c>
      <c r="L102" s="9" t="str">
        <f t="shared" si="9"/>
        <v>https://opencell.czbiohub.org/target/965</v>
      </c>
      <c r="M102" s="9" t="str">
        <f t="shared" si="10"/>
        <v>https://v20.proteinatlas.org/ENSG00000152413/cell</v>
      </c>
      <c r="N102" s="9" t="str">
        <f t="shared" si="11"/>
        <v>https://www.uniprot.org/uniprot/Q86YM7</v>
      </c>
    </row>
    <row r="103" spans="1:14" x14ac:dyDescent="0.2">
      <c r="A103" s="6" t="s">
        <v>383</v>
      </c>
      <c r="B103" s="6" t="s">
        <v>384</v>
      </c>
      <c r="C103" s="6" t="s">
        <v>385</v>
      </c>
      <c r="D103" s="6" t="s">
        <v>21</v>
      </c>
      <c r="E103" s="6" t="s">
        <v>386</v>
      </c>
      <c r="F103" s="6"/>
      <c r="G103" s="6" t="s">
        <v>342</v>
      </c>
      <c r="H103" s="7" t="s">
        <v>387</v>
      </c>
      <c r="I103" s="6" t="s">
        <v>734</v>
      </c>
      <c r="J103" s="6" t="s">
        <v>937</v>
      </c>
      <c r="K103" s="6" t="s">
        <v>735</v>
      </c>
      <c r="L103" s="9" t="str">
        <f t="shared" si="9"/>
        <v>https://opencell.czbiohub.org/target/44</v>
      </c>
      <c r="M103" s="9" t="str">
        <f t="shared" si="10"/>
        <v>https://v20.proteinatlas.org/ENSG00000165868/cell</v>
      </c>
      <c r="N103" s="9" t="str">
        <f t="shared" si="11"/>
        <v>https://www.uniprot.org/uniprot/O43301</v>
      </c>
    </row>
    <row r="104" spans="1:14" x14ac:dyDescent="0.2">
      <c r="A104" s="6" t="s">
        <v>388</v>
      </c>
      <c r="B104" s="6" t="s">
        <v>389</v>
      </c>
      <c r="C104" s="6" t="s">
        <v>237</v>
      </c>
      <c r="D104" s="6" t="s">
        <v>15</v>
      </c>
      <c r="E104" s="6" t="s">
        <v>390</v>
      </c>
      <c r="F104" s="6"/>
      <c r="G104" s="6" t="s">
        <v>342</v>
      </c>
      <c r="H104" s="7" t="s">
        <v>391</v>
      </c>
      <c r="I104" s="6" t="s">
        <v>736</v>
      </c>
      <c r="J104" s="6" t="s">
        <v>938</v>
      </c>
      <c r="K104" s="6" t="s">
        <v>737</v>
      </c>
      <c r="L104" s="9" t="str">
        <f t="shared" si="9"/>
        <v>https://opencell.czbiohub.org/target/157</v>
      </c>
      <c r="M104" s="9" t="str">
        <f t="shared" si="10"/>
        <v>https://v20.proteinatlas.org/ENSG00000040933/cell</v>
      </c>
      <c r="N104" s="9" t="str">
        <f t="shared" si="11"/>
        <v>https://www.uniprot.org/uniprot/Q96PE3</v>
      </c>
    </row>
    <row r="105" spans="1:14" x14ac:dyDescent="0.2">
      <c r="A105" s="6" t="s">
        <v>392</v>
      </c>
      <c r="B105" s="6" t="s">
        <v>393</v>
      </c>
      <c r="C105" s="6" t="s">
        <v>322</v>
      </c>
      <c r="D105" s="6"/>
      <c r="E105" s="6" t="s">
        <v>123</v>
      </c>
      <c r="F105" s="6" t="s">
        <v>22</v>
      </c>
      <c r="G105" s="6" t="s">
        <v>342</v>
      </c>
      <c r="H105" s="7" t="s">
        <v>394</v>
      </c>
      <c r="I105" s="6" t="s">
        <v>738</v>
      </c>
      <c r="J105" s="6" t="s">
        <v>939</v>
      </c>
      <c r="K105" s="6" t="s">
        <v>739</v>
      </c>
      <c r="L105" s="9" t="str">
        <f t="shared" si="9"/>
        <v>https://opencell.czbiohub.org/target/1434</v>
      </c>
      <c r="M105" s="9" t="str">
        <f t="shared" si="10"/>
        <v>https://v20.proteinatlas.org/ENSG00000137171/cell</v>
      </c>
      <c r="N105" s="9" t="str">
        <f t="shared" si="11"/>
        <v>https://www.uniprot.org/uniprot/Q9NSK0</v>
      </c>
    </row>
    <row r="106" spans="1:14" x14ac:dyDescent="0.2">
      <c r="A106" s="6" t="s">
        <v>337</v>
      </c>
      <c r="B106" s="6" t="s">
        <v>338</v>
      </c>
      <c r="C106" s="6" t="s">
        <v>339</v>
      </c>
      <c r="D106" s="6"/>
      <c r="E106" s="6" t="s">
        <v>340</v>
      </c>
      <c r="F106" s="6"/>
      <c r="G106" s="6" t="s">
        <v>342</v>
      </c>
      <c r="H106" s="7" t="s">
        <v>341</v>
      </c>
      <c r="I106" s="6" t="s">
        <v>708</v>
      </c>
      <c r="J106" s="6" t="s">
        <v>940</v>
      </c>
      <c r="K106" s="6" t="s">
        <v>709</v>
      </c>
      <c r="L106" s="9" t="str">
        <f t="shared" si="9"/>
        <v>https://opencell.czbiohub.org/target/1436</v>
      </c>
      <c r="M106" s="9" t="str">
        <f t="shared" si="10"/>
        <v>https://v20.proteinatlas.org/ENSG00000101608/cell</v>
      </c>
      <c r="N106" s="9" t="str">
        <f t="shared" si="11"/>
        <v>https://www.uniprot.org/uniprot/P19105</v>
      </c>
    </row>
    <row r="107" spans="1:14" x14ac:dyDescent="0.2">
      <c r="A107" s="6" t="s">
        <v>343</v>
      </c>
      <c r="B107" s="6" t="s">
        <v>344</v>
      </c>
      <c r="C107" s="6" t="s">
        <v>345</v>
      </c>
      <c r="D107" s="6"/>
      <c r="E107" s="6" t="s">
        <v>340</v>
      </c>
      <c r="F107" s="6"/>
      <c r="G107" s="6" t="s">
        <v>342</v>
      </c>
      <c r="H107" s="7" t="s">
        <v>341</v>
      </c>
      <c r="I107" s="6" t="s">
        <v>710</v>
      </c>
      <c r="J107" s="6" t="s">
        <v>941</v>
      </c>
      <c r="K107" s="6" t="s">
        <v>711</v>
      </c>
      <c r="L107" s="9" t="str">
        <f t="shared" si="9"/>
        <v>https://opencell.czbiohub.org/target/613</v>
      </c>
      <c r="M107" s="9" t="str">
        <f t="shared" si="10"/>
        <v>https://v20.proteinatlas.org/ENSG00000118680/cell</v>
      </c>
      <c r="N107" s="9" t="str">
        <f t="shared" si="11"/>
        <v>https://www.uniprot.org/uniprot/O14950</v>
      </c>
    </row>
    <row r="108" spans="1:14" x14ac:dyDescent="0.2">
      <c r="A108" s="6" t="s">
        <v>346</v>
      </c>
      <c r="B108" s="6" t="s">
        <v>347</v>
      </c>
      <c r="C108" s="6" t="s">
        <v>348</v>
      </c>
      <c r="D108" s="6"/>
      <c r="E108" s="6" t="s">
        <v>9</v>
      </c>
      <c r="F108" s="6"/>
      <c r="G108" s="6" t="s">
        <v>342</v>
      </c>
      <c r="H108" s="7" t="s">
        <v>341</v>
      </c>
      <c r="I108" s="6" t="s">
        <v>712</v>
      </c>
      <c r="J108" s="6" t="s">
        <v>942</v>
      </c>
      <c r="K108" s="6" t="s">
        <v>713</v>
      </c>
      <c r="L108" s="9" t="str">
        <f t="shared" si="9"/>
        <v>https://opencell.czbiohub.org/target/1438</v>
      </c>
      <c r="M108" s="9" t="str">
        <f t="shared" si="10"/>
        <v>https://v20.proteinatlas.org/ENSG00000196465/cell</v>
      </c>
      <c r="N108" s="9" t="str">
        <f t="shared" si="11"/>
        <v>https://www.uniprot.org/uniprot/P14649</v>
      </c>
    </row>
    <row r="109" spans="1:14" x14ac:dyDescent="0.2">
      <c r="A109" s="6" t="s">
        <v>395</v>
      </c>
      <c r="B109" s="6" t="s">
        <v>396</v>
      </c>
      <c r="C109" s="6" t="s">
        <v>164</v>
      </c>
      <c r="D109" s="6"/>
      <c r="E109" s="6" t="s">
        <v>41</v>
      </c>
      <c r="F109" s="6" t="s">
        <v>397</v>
      </c>
      <c r="G109" s="6" t="s">
        <v>342</v>
      </c>
      <c r="H109" s="7" t="s">
        <v>398</v>
      </c>
      <c r="I109" s="6" t="s">
        <v>740</v>
      </c>
      <c r="J109" s="6" t="s">
        <v>943</v>
      </c>
      <c r="K109" s="6" t="s">
        <v>741</v>
      </c>
      <c r="L109" s="9" t="str">
        <f t="shared" si="9"/>
        <v>https://opencell.czbiohub.org/target/1832</v>
      </c>
      <c r="M109" s="9" t="str">
        <f t="shared" si="10"/>
        <v>https://v20.proteinatlas.org/ENSG00000143228/cell</v>
      </c>
      <c r="N109" s="9" t="str">
        <f t="shared" si="11"/>
        <v>https://www.uniprot.org/uniprot/Q9BZD4</v>
      </c>
    </row>
    <row r="110" spans="1:14" x14ac:dyDescent="0.2">
      <c r="A110" s="6" t="s">
        <v>403</v>
      </c>
      <c r="B110" s="6" t="s">
        <v>404</v>
      </c>
      <c r="C110" s="6" t="s">
        <v>219</v>
      </c>
      <c r="D110" s="6" t="s">
        <v>15</v>
      </c>
      <c r="E110" s="6" t="s">
        <v>22</v>
      </c>
      <c r="F110" s="6" t="s">
        <v>405</v>
      </c>
      <c r="G110" s="6" t="s">
        <v>342</v>
      </c>
      <c r="H110" s="7" t="s">
        <v>406</v>
      </c>
      <c r="I110" s="6" t="s">
        <v>744</v>
      </c>
      <c r="J110" s="6" t="s">
        <v>945</v>
      </c>
      <c r="K110" s="6" t="s">
        <v>745</v>
      </c>
      <c r="L110" s="9" t="str">
        <f t="shared" si="9"/>
        <v>https://opencell.czbiohub.org/target/158</v>
      </c>
      <c r="M110" s="9" t="str">
        <f t="shared" si="10"/>
        <v>https://v20.proteinatlas.org/ENSG00000166908/cell</v>
      </c>
      <c r="N110" s="9" t="str">
        <f t="shared" si="11"/>
        <v>https://www.uniprot.org/uniprot/Q8TBX8</v>
      </c>
    </row>
    <row r="111" spans="1:14" x14ac:dyDescent="0.2">
      <c r="A111" s="6" t="s">
        <v>407</v>
      </c>
      <c r="B111" s="6" t="s">
        <v>408</v>
      </c>
      <c r="C111" s="6" t="s">
        <v>310</v>
      </c>
      <c r="D111" s="6" t="s">
        <v>21</v>
      </c>
      <c r="E111" s="6" t="s">
        <v>73</v>
      </c>
      <c r="F111" s="6"/>
      <c r="G111" s="6" t="s">
        <v>342</v>
      </c>
      <c r="H111" s="7" t="s">
        <v>409</v>
      </c>
      <c r="I111" s="6" t="s">
        <v>746</v>
      </c>
      <c r="J111" s="6" t="s">
        <v>946</v>
      </c>
      <c r="K111" s="6" t="s">
        <v>747</v>
      </c>
      <c r="L111" s="9" t="str">
        <f t="shared" si="9"/>
        <v>https://opencell.czbiohub.org/target/426</v>
      </c>
      <c r="M111" s="9" t="str">
        <f t="shared" si="10"/>
        <v>https://v20.proteinatlas.org/ENSG00000169228/cell</v>
      </c>
      <c r="N111" s="9" t="str">
        <f t="shared" si="11"/>
        <v>https://www.uniprot.org/uniprot/Q969Q5</v>
      </c>
    </row>
    <row r="112" spans="1:14" x14ac:dyDescent="0.2">
      <c r="A112" s="6" t="s">
        <v>410</v>
      </c>
      <c r="B112" s="6" t="s">
        <v>411</v>
      </c>
      <c r="C112" s="6" t="s">
        <v>274</v>
      </c>
      <c r="D112" s="6" t="s">
        <v>21</v>
      </c>
      <c r="E112" s="6" t="s">
        <v>64</v>
      </c>
      <c r="F112" s="6" t="s">
        <v>111</v>
      </c>
      <c r="G112" s="6" t="s">
        <v>342</v>
      </c>
      <c r="H112" s="7" t="s">
        <v>984</v>
      </c>
      <c r="I112" s="6" t="s">
        <v>748</v>
      </c>
      <c r="J112" s="6" t="s">
        <v>947</v>
      </c>
      <c r="K112" s="6" t="s">
        <v>749</v>
      </c>
      <c r="L112" s="9" t="str">
        <f t="shared" si="9"/>
        <v>https://opencell.czbiohub.org/target/444</v>
      </c>
      <c r="M112" s="9" t="str">
        <f t="shared" si="10"/>
        <v>https://v20.proteinatlas.org/ENSG00000105404/cell</v>
      </c>
      <c r="N112" s="9" t="str">
        <f t="shared" si="11"/>
        <v>https://www.uniprot.org/uniprot/Q9UI14</v>
      </c>
    </row>
    <row r="113" spans="1:14" x14ac:dyDescent="0.2">
      <c r="A113" s="6" t="s">
        <v>412</v>
      </c>
      <c r="B113" s="6" t="s">
        <v>413</v>
      </c>
      <c r="C113" s="6" t="s">
        <v>414</v>
      </c>
      <c r="D113" s="6"/>
      <c r="E113" s="6" t="s">
        <v>41</v>
      </c>
      <c r="F113" s="6"/>
      <c r="G113" s="6" t="s">
        <v>342</v>
      </c>
      <c r="H113" s="7" t="s">
        <v>415</v>
      </c>
      <c r="I113" s="6" t="s">
        <v>750</v>
      </c>
      <c r="J113" s="6" t="s">
        <v>948</v>
      </c>
      <c r="K113" s="6" t="s">
        <v>751</v>
      </c>
      <c r="L113" s="9" t="str">
        <f t="shared" si="9"/>
        <v>https://opencell.czbiohub.org/target/449</v>
      </c>
      <c r="M113" s="9" t="str">
        <f t="shared" si="10"/>
        <v>https://v20.proteinatlas.org/ENSG00000100949/cell</v>
      </c>
      <c r="N113" s="9" t="str">
        <f t="shared" si="11"/>
        <v>https://www.uniprot.org/uniprot/Q92696</v>
      </c>
    </row>
    <row r="114" spans="1:14" x14ac:dyDescent="0.2">
      <c r="A114" s="6" t="s">
        <v>416</v>
      </c>
      <c r="B114" s="6" t="s">
        <v>417</v>
      </c>
      <c r="C114" s="6" t="s">
        <v>27</v>
      </c>
      <c r="D114" s="6" t="s">
        <v>63</v>
      </c>
      <c r="E114" s="6" t="s">
        <v>41</v>
      </c>
      <c r="F114" s="6"/>
      <c r="G114" s="6" t="s">
        <v>342</v>
      </c>
      <c r="H114" s="7" t="s">
        <v>173</v>
      </c>
      <c r="I114" s="6" t="s">
        <v>752</v>
      </c>
      <c r="J114" s="6" t="s">
        <v>949</v>
      </c>
      <c r="K114" s="6" t="s">
        <v>753</v>
      </c>
      <c r="L114" s="9" t="str">
        <f t="shared" si="9"/>
        <v>https://opencell.czbiohub.org/target/452</v>
      </c>
      <c r="M114" s="9" t="str">
        <f t="shared" si="10"/>
        <v>https://v20.proteinatlas.org/ENSG00000144840/cell</v>
      </c>
      <c r="N114" s="9" t="str">
        <f t="shared" si="11"/>
        <v>https://www.uniprot.org/uniprot/Q5HYI8</v>
      </c>
    </row>
    <row r="115" spans="1:14" x14ac:dyDescent="0.2">
      <c r="A115" s="6" t="s">
        <v>418</v>
      </c>
      <c r="B115" s="6" t="s">
        <v>419</v>
      </c>
      <c r="C115" s="6" t="s">
        <v>362</v>
      </c>
      <c r="D115" s="6"/>
      <c r="E115" s="6" t="s">
        <v>41</v>
      </c>
      <c r="F115" s="6" t="s">
        <v>22</v>
      </c>
      <c r="G115" s="6" t="s">
        <v>342</v>
      </c>
      <c r="H115" s="7" t="s">
        <v>420</v>
      </c>
      <c r="I115" s="6" t="s">
        <v>754</v>
      </c>
      <c r="J115" s="6" t="s">
        <v>950</v>
      </c>
      <c r="K115" s="6" t="s">
        <v>755</v>
      </c>
      <c r="L115" s="9" t="str">
        <f t="shared" si="9"/>
        <v>https://opencell.czbiohub.org/target/762</v>
      </c>
      <c r="M115" s="9" t="str">
        <f t="shared" si="10"/>
        <v>https://v20.proteinatlas.org/ENSG00000092108/cell</v>
      </c>
      <c r="N115" s="9" t="str">
        <f t="shared" si="11"/>
        <v>https://www.uniprot.org/uniprot/Q8WVM8</v>
      </c>
    </row>
    <row r="116" spans="1:14" x14ac:dyDescent="0.2">
      <c r="A116" s="6" t="s">
        <v>421</v>
      </c>
      <c r="B116" s="6" t="s">
        <v>422</v>
      </c>
      <c r="C116" s="6" t="s">
        <v>423</v>
      </c>
      <c r="D116" s="6"/>
      <c r="E116" s="6" t="s">
        <v>41</v>
      </c>
      <c r="F116" s="6"/>
      <c r="G116" s="6" t="s">
        <v>342</v>
      </c>
      <c r="H116" s="7" t="s">
        <v>424</v>
      </c>
      <c r="I116" s="6" t="s">
        <v>756</v>
      </c>
      <c r="J116" s="6" t="s">
        <v>951</v>
      </c>
      <c r="K116" s="6" t="s">
        <v>757</v>
      </c>
      <c r="L116" s="9" t="str">
        <f t="shared" si="9"/>
        <v>https://opencell.czbiohub.org/target/551</v>
      </c>
      <c r="M116" s="9" t="str">
        <f t="shared" si="10"/>
        <v>https://v20.proteinatlas.org/ENSG00000171475/cell</v>
      </c>
      <c r="N116" s="9" t="str">
        <f t="shared" si="11"/>
        <v>https://www.uniprot.org/uniprot/Q8TF74</v>
      </c>
    </row>
    <row r="117" spans="1:14" x14ac:dyDescent="0.2">
      <c r="A117" s="6" t="s">
        <v>425</v>
      </c>
      <c r="B117" s="6" t="s">
        <v>426</v>
      </c>
      <c r="C117" s="6" t="s">
        <v>96</v>
      </c>
      <c r="D117" s="6"/>
      <c r="E117" s="6" t="s">
        <v>180</v>
      </c>
      <c r="F117" s="6"/>
      <c r="G117" s="6" t="s">
        <v>428</v>
      </c>
      <c r="H117" s="7" t="s">
        <v>427</v>
      </c>
      <c r="I117" s="6" t="s">
        <v>758</v>
      </c>
      <c r="J117" s="6" t="s">
        <v>952</v>
      </c>
      <c r="K117" s="6" t="s">
        <v>759</v>
      </c>
      <c r="L117" s="9" t="str">
        <f t="shared" si="9"/>
        <v>https://opencell.czbiohub.org/target/328</v>
      </c>
      <c r="M117" s="9" t="str">
        <f t="shared" si="10"/>
        <v>https://v20.proteinatlas.org/ENSG00000169692/cell</v>
      </c>
      <c r="N117" s="9" t="str">
        <f t="shared" si="11"/>
        <v>https://www.uniprot.org/uniprot/O15120</v>
      </c>
    </row>
    <row r="118" spans="1:14" x14ac:dyDescent="0.2">
      <c r="A118" s="6" t="s">
        <v>429</v>
      </c>
      <c r="B118" s="6" t="s">
        <v>430</v>
      </c>
      <c r="C118" s="6" t="s">
        <v>49</v>
      </c>
      <c r="D118" s="6"/>
      <c r="E118" s="6" t="s">
        <v>123</v>
      </c>
      <c r="F118" s="6"/>
      <c r="G118" s="6" t="s">
        <v>428</v>
      </c>
      <c r="H118" s="7" t="s">
        <v>427</v>
      </c>
      <c r="I118" s="6" t="s">
        <v>760</v>
      </c>
      <c r="J118" s="6" t="s">
        <v>953</v>
      </c>
      <c r="K118" s="6" t="s">
        <v>761</v>
      </c>
      <c r="L118" s="9" t="str">
        <f t="shared" si="9"/>
        <v>https://opencell.czbiohub.org/target/980</v>
      </c>
      <c r="M118" s="9" t="str">
        <f t="shared" si="10"/>
        <v>https://v20.proteinatlas.org/ENSG00000161618/cell</v>
      </c>
      <c r="N118" s="9" t="str">
        <f t="shared" si="11"/>
        <v>https://www.uniprot.org/uniprot/Q8IZ83</v>
      </c>
    </row>
    <row r="119" spans="1:14" x14ac:dyDescent="0.2">
      <c r="A119" s="6" t="s">
        <v>431</v>
      </c>
      <c r="B119" s="6" t="s">
        <v>432</v>
      </c>
      <c r="C119" s="6" t="s">
        <v>433</v>
      </c>
      <c r="D119" s="6"/>
      <c r="E119" s="6" t="s">
        <v>9</v>
      </c>
      <c r="F119" s="6" t="s">
        <v>123</v>
      </c>
      <c r="G119" s="6" t="s">
        <v>428</v>
      </c>
      <c r="H119" s="7" t="s">
        <v>762</v>
      </c>
      <c r="I119" s="6" t="s">
        <v>763</v>
      </c>
      <c r="J119" s="6" t="s">
        <v>954</v>
      </c>
      <c r="K119" s="6" t="s">
        <v>764</v>
      </c>
      <c r="L119" s="9" t="str">
        <f t="shared" si="9"/>
        <v>https://opencell.czbiohub.org/target/1844</v>
      </c>
      <c r="M119" s="9" t="str">
        <f t="shared" si="10"/>
        <v>https://v20.proteinatlas.org/ENSG00000110497/cell</v>
      </c>
      <c r="N119" s="9" t="str">
        <f t="shared" si="11"/>
        <v>https://www.uniprot.org/uniprot/Q9C0C7</v>
      </c>
    </row>
    <row r="120" spans="1:14" x14ac:dyDescent="0.2">
      <c r="A120" s="6" t="s">
        <v>434</v>
      </c>
      <c r="B120" s="6" t="s">
        <v>435</v>
      </c>
      <c r="C120" s="6" t="s">
        <v>15</v>
      </c>
      <c r="D120" s="6"/>
      <c r="E120" s="6" t="s">
        <v>134</v>
      </c>
      <c r="F120" s="6" t="s">
        <v>22</v>
      </c>
      <c r="G120" s="6" t="s">
        <v>428</v>
      </c>
      <c r="H120" s="7" t="s">
        <v>427</v>
      </c>
      <c r="I120" s="6" t="s">
        <v>765</v>
      </c>
      <c r="J120" s="6" t="s">
        <v>955</v>
      </c>
      <c r="K120" s="6" t="s">
        <v>766</v>
      </c>
      <c r="L120" s="9" t="str">
        <f t="shared" si="9"/>
        <v>https://opencell.czbiohub.org/target/1384</v>
      </c>
      <c r="M120" s="9" t="str">
        <f t="shared" si="10"/>
        <v>https://v20.proteinatlas.org/ENSG00000088448/cell</v>
      </c>
      <c r="N120" s="9" t="str">
        <f t="shared" si="11"/>
        <v>https://www.uniprot.org/uniprot/Q9NXR5</v>
      </c>
    </row>
    <row r="121" spans="1:14" x14ac:dyDescent="0.2">
      <c r="A121" s="6" t="s">
        <v>436</v>
      </c>
      <c r="B121" s="6" t="s">
        <v>437</v>
      </c>
      <c r="C121" s="6" t="s">
        <v>63</v>
      </c>
      <c r="D121" s="6" t="s">
        <v>27</v>
      </c>
      <c r="E121" s="6" t="s">
        <v>22</v>
      </c>
      <c r="F121" s="6"/>
      <c r="G121" s="6" t="s">
        <v>428</v>
      </c>
      <c r="H121" s="7" t="s">
        <v>438</v>
      </c>
      <c r="I121" s="6" t="s">
        <v>767</v>
      </c>
      <c r="J121" s="6" t="s">
        <v>956</v>
      </c>
      <c r="K121" s="6" t="s">
        <v>768</v>
      </c>
      <c r="L121" s="9" t="str">
        <f t="shared" si="9"/>
        <v>https://opencell.czbiohub.org/target/1394</v>
      </c>
      <c r="M121" s="9" t="str">
        <f t="shared" si="10"/>
        <v>https://v20.proteinatlas.org/ENSG00000186106/cell</v>
      </c>
      <c r="N121" s="9" t="str">
        <f t="shared" si="11"/>
        <v>https://www.uniprot.org/uniprot/Q86W74</v>
      </c>
    </row>
    <row r="122" spans="1:14" x14ac:dyDescent="0.2">
      <c r="A122" s="6" t="s">
        <v>439</v>
      </c>
      <c r="B122" s="6" t="s">
        <v>440</v>
      </c>
      <c r="C122" s="6" t="s">
        <v>257</v>
      </c>
      <c r="D122" s="6" t="s">
        <v>15</v>
      </c>
      <c r="E122" s="6" t="s">
        <v>201</v>
      </c>
      <c r="F122" s="6" t="s">
        <v>441</v>
      </c>
      <c r="G122" s="6" t="s">
        <v>428</v>
      </c>
      <c r="H122" s="7" t="s">
        <v>442</v>
      </c>
      <c r="I122" s="6" t="s">
        <v>769</v>
      </c>
      <c r="J122" s="6" t="s">
        <v>957</v>
      </c>
      <c r="K122" s="6" t="s">
        <v>770</v>
      </c>
      <c r="L122" s="9" t="str">
        <f t="shared" si="9"/>
        <v>https://opencell.czbiohub.org/target/558</v>
      </c>
      <c r="M122" s="9" t="str">
        <f t="shared" si="10"/>
        <v>https://v20.proteinatlas.org/ENSG00000160007/cell</v>
      </c>
      <c r="N122" s="9" t="str">
        <f t="shared" si="11"/>
        <v>https://www.uniprot.org/uniprot/Q9NRY4</v>
      </c>
    </row>
    <row r="123" spans="1:14" x14ac:dyDescent="0.2">
      <c r="A123" s="6" t="s">
        <v>443</v>
      </c>
      <c r="B123" s="6" t="s">
        <v>444</v>
      </c>
      <c r="C123" s="6" t="s">
        <v>31</v>
      </c>
      <c r="D123" s="6" t="s">
        <v>36</v>
      </c>
      <c r="E123" s="6" t="s">
        <v>41</v>
      </c>
      <c r="F123" s="6"/>
      <c r="G123" s="6" t="s">
        <v>428</v>
      </c>
      <c r="H123" s="7" t="s">
        <v>445</v>
      </c>
      <c r="I123" s="6" t="s">
        <v>771</v>
      </c>
      <c r="J123" s="6" t="s">
        <v>958</v>
      </c>
      <c r="K123" s="6" t="s">
        <v>772</v>
      </c>
      <c r="L123" s="9" t="str">
        <f t="shared" si="9"/>
        <v>https://opencell.czbiohub.org/target/560</v>
      </c>
      <c r="M123" s="9" t="str">
        <f t="shared" si="10"/>
        <v>https://v20.proteinatlas.org/ENSG00000241484/cell</v>
      </c>
      <c r="N123" s="9" t="str">
        <f t="shared" si="11"/>
        <v>https://www.uniprot.org/uniprot/P85298</v>
      </c>
    </row>
    <row r="124" spans="1:14" x14ac:dyDescent="0.2">
      <c r="A124" s="6" t="s">
        <v>446</v>
      </c>
      <c r="B124" s="6" t="s">
        <v>447</v>
      </c>
      <c r="C124" s="6" t="s">
        <v>448</v>
      </c>
      <c r="D124" s="6"/>
      <c r="E124" s="6" t="s">
        <v>123</v>
      </c>
      <c r="F124" s="6" t="s">
        <v>22</v>
      </c>
      <c r="G124" s="6" t="s">
        <v>428</v>
      </c>
      <c r="H124" s="7" t="s">
        <v>449</v>
      </c>
      <c r="I124" s="6" t="s">
        <v>773</v>
      </c>
      <c r="J124" s="6" t="s">
        <v>959</v>
      </c>
      <c r="K124" s="6" t="s">
        <v>774</v>
      </c>
      <c r="L124" s="9" t="str">
        <f t="shared" si="9"/>
        <v>https://opencell.czbiohub.org/target/371</v>
      </c>
      <c r="M124" s="9" t="str">
        <f t="shared" si="10"/>
        <v>https://v20.proteinatlas.org/ENSG00000179933/cell</v>
      </c>
      <c r="N124" s="9" t="str">
        <f t="shared" si="11"/>
        <v>https://www.uniprot.org/uniprot/Q9NWQ9</v>
      </c>
    </row>
    <row r="125" spans="1:14" x14ac:dyDescent="0.2">
      <c r="A125" s="6" t="s">
        <v>450</v>
      </c>
      <c r="B125" s="6" t="s">
        <v>451</v>
      </c>
      <c r="C125" s="6" t="s">
        <v>8</v>
      </c>
      <c r="D125" s="6"/>
      <c r="E125" s="6" t="s">
        <v>134</v>
      </c>
      <c r="F125" s="6"/>
      <c r="G125" s="6" t="s">
        <v>428</v>
      </c>
      <c r="H125" s="7" t="s">
        <v>427</v>
      </c>
      <c r="I125" s="6" t="s">
        <v>775</v>
      </c>
      <c r="J125" s="6" t="s">
        <v>960</v>
      </c>
      <c r="K125" s="6" t="s">
        <v>776</v>
      </c>
      <c r="L125" s="9" t="str">
        <f t="shared" si="9"/>
        <v>https://opencell.czbiohub.org/target/395</v>
      </c>
      <c r="M125" s="9" t="str">
        <f t="shared" si="10"/>
        <v>https://v20.proteinatlas.org/ENSG00000171159/cell</v>
      </c>
      <c r="N125" s="9" t="str">
        <f t="shared" si="11"/>
        <v>https://www.uniprot.org/uniprot/Q9BUW7</v>
      </c>
    </row>
    <row r="126" spans="1:14" x14ac:dyDescent="0.2">
      <c r="A126" s="6" t="s">
        <v>452</v>
      </c>
      <c r="B126" s="6" t="s">
        <v>453</v>
      </c>
      <c r="C126" s="6" t="s">
        <v>454</v>
      </c>
      <c r="D126" s="6"/>
      <c r="E126" s="6" t="s">
        <v>455</v>
      </c>
      <c r="F126" s="6"/>
      <c r="G126" s="6" t="s">
        <v>428</v>
      </c>
      <c r="H126" s="7" t="s">
        <v>456</v>
      </c>
      <c r="I126" s="6" t="s">
        <v>777</v>
      </c>
      <c r="J126" s="6" t="s">
        <v>961</v>
      </c>
      <c r="K126" s="6" t="s">
        <v>778</v>
      </c>
      <c r="L126" s="9" t="str">
        <f t="shared" si="9"/>
        <v>https://opencell.czbiohub.org/target/347</v>
      </c>
      <c r="M126" s="9" t="str">
        <f t="shared" si="10"/>
        <v>https://v20.proteinatlas.org/ENSG00000103502/cell</v>
      </c>
      <c r="N126" s="9" t="str">
        <f t="shared" si="11"/>
        <v>https://www.uniprot.org/uniprot/O14735</v>
      </c>
    </row>
    <row r="127" spans="1:14" x14ac:dyDescent="0.2">
      <c r="A127" s="6" t="s">
        <v>457</v>
      </c>
      <c r="B127" s="6" t="s">
        <v>458</v>
      </c>
      <c r="C127" s="6" t="s">
        <v>8</v>
      </c>
      <c r="D127" s="6"/>
      <c r="E127" s="6" t="s">
        <v>50</v>
      </c>
      <c r="F127" s="6"/>
      <c r="G127" s="6" t="s">
        <v>428</v>
      </c>
      <c r="H127" s="7" t="s">
        <v>459</v>
      </c>
      <c r="I127" s="6" t="s">
        <v>779</v>
      </c>
      <c r="J127" s="6" t="s">
        <v>962</v>
      </c>
      <c r="K127" s="6" t="s">
        <v>780</v>
      </c>
      <c r="L127" s="9" t="str">
        <f t="shared" si="9"/>
        <v>https://opencell.czbiohub.org/target/1042</v>
      </c>
      <c r="M127" s="9" t="str">
        <f t="shared" si="10"/>
        <v>https://v20.proteinatlas.org/ENSG00000147889/cell</v>
      </c>
      <c r="N127" s="9" t="str">
        <f t="shared" si="11"/>
        <v>https://www.uniprot.org/uniprot/P42771</v>
      </c>
    </row>
    <row r="128" spans="1:14" x14ac:dyDescent="0.2">
      <c r="A128" s="6" t="s">
        <v>460</v>
      </c>
      <c r="B128" s="6" t="s">
        <v>461</v>
      </c>
      <c r="C128" s="6" t="s">
        <v>462</v>
      </c>
      <c r="D128" s="6"/>
      <c r="E128" s="6" t="s">
        <v>22</v>
      </c>
      <c r="F128" s="6"/>
      <c r="G128" s="6" t="s">
        <v>428</v>
      </c>
      <c r="H128" s="7" t="s">
        <v>427</v>
      </c>
      <c r="I128" s="6" t="s">
        <v>781</v>
      </c>
      <c r="J128" s="6" t="s">
        <v>963</v>
      </c>
      <c r="K128" s="6" t="s">
        <v>782</v>
      </c>
      <c r="L128" s="9" t="str">
        <f t="shared" si="9"/>
        <v>https://opencell.czbiohub.org/target/1535</v>
      </c>
      <c r="M128" s="9" t="str">
        <f t="shared" si="10"/>
        <v>https://v20.proteinatlas.org/ENSG00000175029/cell</v>
      </c>
      <c r="N128" s="9" t="str">
        <f t="shared" si="11"/>
        <v>https://www.uniprot.org/uniprot/P56545</v>
      </c>
    </row>
    <row r="129" spans="1:14" x14ac:dyDescent="0.2">
      <c r="A129" s="6" t="s">
        <v>463</v>
      </c>
      <c r="B129" s="6" t="s">
        <v>464</v>
      </c>
      <c r="C129" s="6" t="s">
        <v>226</v>
      </c>
      <c r="D129" s="6"/>
      <c r="E129" s="6" t="s">
        <v>145</v>
      </c>
      <c r="F129" s="6" t="s">
        <v>59</v>
      </c>
      <c r="G129" s="6" t="s">
        <v>428</v>
      </c>
      <c r="H129" s="7" t="s">
        <v>465</v>
      </c>
      <c r="I129" s="6" t="s">
        <v>783</v>
      </c>
      <c r="J129" s="6" t="s">
        <v>964</v>
      </c>
      <c r="K129" s="6" t="s">
        <v>784</v>
      </c>
      <c r="L129" s="9" t="str">
        <f t="shared" si="9"/>
        <v>https://opencell.czbiohub.org/target/563</v>
      </c>
      <c r="M129" s="9" t="str">
        <f t="shared" si="10"/>
        <v>https://v20.proteinatlas.org/ENSG00000035499/cell</v>
      </c>
      <c r="N129" s="9" t="str">
        <f t="shared" si="11"/>
        <v>https://www.uniprot.org/uniprot/Q8WUY9</v>
      </c>
    </row>
    <row r="130" spans="1:14" x14ac:dyDescent="0.2">
      <c r="A130" s="6" t="s">
        <v>466</v>
      </c>
      <c r="B130" s="6" t="s">
        <v>467</v>
      </c>
      <c r="C130" s="6" t="s">
        <v>468</v>
      </c>
      <c r="D130" s="6" t="s">
        <v>15</v>
      </c>
      <c r="E130" s="6" t="s">
        <v>64</v>
      </c>
      <c r="F130" s="6"/>
      <c r="G130" s="6" t="s">
        <v>428</v>
      </c>
      <c r="H130" s="7" t="s">
        <v>427</v>
      </c>
      <c r="I130" s="6" t="s">
        <v>785</v>
      </c>
      <c r="J130" s="6" t="s">
        <v>965</v>
      </c>
      <c r="K130" s="6" t="s">
        <v>786</v>
      </c>
      <c r="L130" s="9" t="str">
        <f t="shared" ref="L130:L148" si="12">HYPERLINK(I130)</f>
        <v>https://opencell.czbiohub.org/target/17</v>
      </c>
      <c r="M130" s="9" t="str">
        <f t="shared" ref="M130:M148" si="13">HYPERLINK(J130)</f>
        <v>https://v20.proteinatlas.org/ENSG00000135924/cell</v>
      </c>
      <c r="N130" s="9" t="str">
        <f t="shared" ref="N130:N148" si="14">HYPERLINK(K130)</f>
        <v>https://www.uniprot.org/uniprot/P25686</v>
      </c>
    </row>
    <row r="131" spans="1:14" x14ac:dyDescent="0.2">
      <c r="A131" s="6" t="s">
        <v>469</v>
      </c>
      <c r="B131" s="6" t="s">
        <v>470</v>
      </c>
      <c r="C131" s="6" t="s">
        <v>63</v>
      </c>
      <c r="D131" s="6" t="s">
        <v>471</v>
      </c>
      <c r="E131" s="6" t="s">
        <v>472</v>
      </c>
      <c r="F131" s="6" t="s">
        <v>22</v>
      </c>
      <c r="G131" s="6" t="s">
        <v>428</v>
      </c>
      <c r="H131" s="7" t="s">
        <v>473</v>
      </c>
      <c r="I131" s="6" t="s">
        <v>787</v>
      </c>
      <c r="J131" s="6" t="s">
        <v>966</v>
      </c>
      <c r="K131" s="6" t="s">
        <v>788</v>
      </c>
      <c r="L131" s="9" t="str">
        <f t="shared" si="12"/>
        <v>https://opencell.czbiohub.org/target/27</v>
      </c>
      <c r="M131" s="9" t="str">
        <f t="shared" si="13"/>
        <v>https://v20.proteinatlas.org/ENSG00000170464/cell</v>
      </c>
      <c r="N131" s="9" t="str">
        <f t="shared" si="14"/>
        <v>https://www.uniprot.org/uniprot/Q9H819</v>
      </c>
    </row>
    <row r="132" spans="1:14" x14ac:dyDescent="0.2">
      <c r="A132" s="6" t="s">
        <v>474</v>
      </c>
      <c r="B132" s="6" t="s">
        <v>475</v>
      </c>
      <c r="C132" s="6" t="s">
        <v>14</v>
      </c>
      <c r="D132" s="6" t="s">
        <v>471</v>
      </c>
      <c r="E132" s="6" t="s">
        <v>50</v>
      </c>
      <c r="F132" s="6" t="s">
        <v>64</v>
      </c>
      <c r="G132" s="6" t="s">
        <v>428</v>
      </c>
      <c r="H132" s="7" t="s">
        <v>427</v>
      </c>
      <c r="I132" s="6" t="s">
        <v>789</v>
      </c>
      <c r="J132" s="6" t="s">
        <v>967</v>
      </c>
      <c r="K132" s="6" t="s">
        <v>790</v>
      </c>
      <c r="L132" s="9" t="str">
        <f t="shared" si="12"/>
        <v>https://opencell.czbiohub.org/target/603</v>
      </c>
      <c r="M132" s="9" t="str">
        <f t="shared" si="13"/>
        <v>https://v20.proteinatlas.org/ENSG00000147251/cell</v>
      </c>
      <c r="N132" s="9" t="str">
        <f t="shared" si="14"/>
        <v>https://www.uniprot.org/uniprot/Q5JSL3</v>
      </c>
    </row>
    <row r="133" spans="1:14" x14ac:dyDescent="0.2">
      <c r="A133" s="6" t="s">
        <v>476</v>
      </c>
      <c r="B133" s="6" t="s">
        <v>477</v>
      </c>
      <c r="C133" s="6" t="s">
        <v>274</v>
      </c>
      <c r="D133" s="6"/>
      <c r="E133" s="6" t="s">
        <v>238</v>
      </c>
      <c r="F133" s="6" t="s">
        <v>145</v>
      </c>
      <c r="G133" s="6" t="s">
        <v>428</v>
      </c>
      <c r="H133" s="7" t="s">
        <v>478</v>
      </c>
      <c r="I133" s="6" t="s">
        <v>791</v>
      </c>
      <c r="J133" s="6" t="s">
        <v>968</v>
      </c>
      <c r="K133" s="6" t="s">
        <v>792</v>
      </c>
      <c r="L133" s="9" t="str">
        <f t="shared" si="12"/>
        <v>https://opencell.czbiohub.org/target/378</v>
      </c>
      <c r="M133" s="9" t="str">
        <f t="shared" si="13"/>
        <v>https://v20.proteinatlas.org/ENSG00000228300/cell</v>
      </c>
      <c r="N133" s="9" t="str">
        <f t="shared" si="14"/>
        <v>https://www.uniprot.org/uniprot/Q9BVV8</v>
      </c>
    </row>
    <row r="134" spans="1:14" x14ac:dyDescent="0.2">
      <c r="A134" s="6" t="s">
        <v>479</v>
      </c>
      <c r="B134" s="6" t="s">
        <v>480</v>
      </c>
      <c r="C134" s="6" t="s">
        <v>27</v>
      </c>
      <c r="D134" s="6"/>
      <c r="E134" s="6" t="s">
        <v>134</v>
      </c>
      <c r="F134" s="6"/>
      <c r="G134" s="6" t="s">
        <v>428</v>
      </c>
      <c r="H134" s="7" t="s">
        <v>481</v>
      </c>
      <c r="I134" s="6" t="s">
        <v>793</v>
      </c>
      <c r="J134" s="6" t="s">
        <v>969</v>
      </c>
      <c r="K134" s="6" t="s">
        <v>794</v>
      </c>
      <c r="L134" s="9" t="str">
        <f t="shared" si="12"/>
        <v>https://opencell.czbiohub.org/target/1818</v>
      </c>
      <c r="M134" s="9" t="str">
        <f t="shared" si="13"/>
        <v>https://v20.proteinatlas.org/ENSG00000167996/cell</v>
      </c>
      <c r="N134" s="9" t="str">
        <f t="shared" si="14"/>
        <v>https://www.uniprot.org/uniprot/P02794</v>
      </c>
    </row>
    <row r="135" spans="1:14" x14ac:dyDescent="0.2">
      <c r="A135" s="6" t="s">
        <v>482</v>
      </c>
      <c r="B135" s="6" t="s">
        <v>483</v>
      </c>
      <c r="C135" s="6" t="s">
        <v>14</v>
      </c>
      <c r="D135" s="6" t="s">
        <v>15</v>
      </c>
      <c r="E135" s="6" t="s">
        <v>9</v>
      </c>
      <c r="F135" s="6"/>
      <c r="G135" s="6" t="s">
        <v>428</v>
      </c>
      <c r="H135" s="7" t="s">
        <v>484</v>
      </c>
      <c r="I135" s="6" t="s">
        <v>795</v>
      </c>
      <c r="J135" s="6" t="s">
        <v>970</v>
      </c>
      <c r="K135" s="6" t="s">
        <v>796</v>
      </c>
      <c r="L135" s="9" t="str">
        <f t="shared" si="12"/>
        <v>https://opencell.czbiohub.org/target/359</v>
      </c>
      <c r="M135" s="9" t="str">
        <f t="shared" si="13"/>
        <v>https://v20.proteinatlas.org/ENSG00000203879/cell</v>
      </c>
      <c r="N135" s="9" t="str">
        <f t="shared" si="14"/>
        <v>https://www.uniprot.org/uniprot/P31150</v>
      </c>
    </row>
    <row r="136" spans="1:14" x14ac:dyDescent="0.2">
      <c r="A136" s="6" t="s">
        <v>485</v>
      </c>
      <c r="B136" s="6" t="s">
        <v>486</v>
      </c>
      <c r="C136" s="6" t="s">
        <v>14</v>
      </c>
      <c r="D136" s="6"/>
      <c r="E136" s="6" t="s">
        <v>9</v>
      </c>
      <c r="F136" s="6"/>
      <c r="G136" s="6" t="s">
        <v>428</v>
      </c>
      <c r="H136" s="7" t="s">
        <v>427</v>
      </c>
      <c r="I136" s="6" t="s">
        <v>797</v>
      </c>
      <c r="J136" s="6" t="s">
        <v>971</v>
      </c>
      <c r="K136" s="6" t="s">
        <v>798</v>
      </c>
      <c r="L136" s="9" t="str">
        <f t="shared" si="12"/>
        <v>https://opencell.czbiohub.org/target/1921</v>
      </c>
      <c r="M136" s="9" t="str">
        <f t="shared" si="13"/>
        <v>https://v20.proteinatlas.org/ENSG00000173020/cell</v>
      </c>
      <c r="N136" s="9" t="str">
        <f t="shared" si="14"/>
        <v>https://www.uniprot.org/uniprot/P25098</v>
      </c>
    </row>
    <row r="137" spans="1:14" x14ac:dyDescent="0.2">
      <c r="A137" s="6" t="s">
        <v>487</v>
      </c>
      <c r="B137" s="6" t="s">
        <v>488</v>
      </c>
      <c r="C137" s="6" t="s">
        <v>14</v>
      </c>
      <c r="D137" s="6"/>
      <c r="E137" s="6" t="s">
        <v>9</v>
      </c>
      <c r="F137" s="6"/>
      <c r="G137" s="6" t="s">
        <v>428</v>
      </c>
      <c r="H137" s="7" t="s">
        <v>489</v>
      </c>
      <c r="I137" s="6" t="s">
        <v>799</v>
      </c>
      <c r="J137" s="6" t="s">
        <v>972</v>
      </c>
      <c r="K137" s="6" t="s">
        <v>800</v>
      </c>
      <c r="L137" s="9" t="str">
        <f t="shared" si="12"/>
        <v>https://opencell.czbiohub.org/target/1593</v>
      </c>
      <c r="M137" s="9" t="str">
        <f t="shared" si="13"/>
        <v>https://v20.proteinatlas.org/ENSG00000163754/cell</v>
      </c>
      <c r="N137" s="9" t="str">
        <f t="shared" si="14"/>
        <v>https://www.uniprot.org/uniprot/P46976</v>
      </c>
    </row>
    <row r="138" spans="1:14" x14ac:dyDescent="0.2">
      <c r="A138" s="6" t="s">
        <v>490</v>
      </c>
      <c r="B138" s="6" t="s">
        <v>491</v>
      </c>
      <c r="C138" s="6" t="s">
        <v>27</v>
      </c>
      <c r="D138" s="6"/>
      <c r="E138" s="6" t="s">
        <v>238</v>
      </c>
      <c r="F138" s="6"/>
      <c r="G138" s="6" t="s">
        <v>428</v>
      </c>
      <c r="H138" s="7" t="s">
        <v>492</v>
      </c>
      <c r="I138" s="6" t="s">
        <v>801</v>
      </c>
      <c r="J138" s="6" t="s">
        <v>973</v>
      </c>
      <c r="K138" s="6" t="s">
        <v>802</v>
      </c>
      <c r="L138" s="9" t="str">
        <f t="shared" si="12"/>
        <v>https://opencell.czbiohub.org/target/1618</v>
      </c>
      <c r="M138" s="9" t="str">
        <f t="shared" si="13"/>
        <v>https://v20.proteinatlas.org/ENSG00000092931/cell</v>
      </c>
      <c r="N138" s="9" t="str">
        <f t="shared" si="14"/>
        <v>https://www.uniprot.org/uniprot/O43934</v>
      </c>
    </row>
    <row r="139" spans="1:14" x14ac:dyDescent="0.2">
      <c r="A139" s="6" t="s">
        <v>493</v>
      </c>
      <c r="B139" s="6" t="s">
        <v>494</v>
      </c>
      <c r="C139" s="6" t="s">
        <v>14</v>
      </c>
      <c r="D139" s="6"/>
      <c r="E139" s="6" t="s">
        <v>123</v>
      </c>
      <c r="F139" s="6"/>
      <c r="G139" s="6" t="s">
        <v>428</v>
      </c>
      <c r="H139" s="7" t="s">
        <v>359</v>
      </c>
      <c r="I139" s="6" t="s">
        <v>803</v>
      </c>
      <c r="J139" s="6" t="s">
        <v>974</v>
      </c>
      <c r="K139" s="6" t="s">
        <v>804</v>
      </c>
      <c r="L139" s="9" t="str">
        <f t="shared" si="12"/>
        <v>https://opencell.czbiohub.org/target/1227</v>
      </c>
      <c r="M139" s="9" t="str">
        <f t="shared" si="13"/>
        <v>https://v20.proteinatlas.org/ENSG00000119638/cell</v>
      </c>
      <c r="N139" s="9" t="str">
        <f t="shared" si="14"/>
        <v>https://www.uniprot.org/uniprot/Q8TD19</v>
      </c>
    </row>
    <row r="140" spans="1:14" x14ac:dyDescent="0.2">
      <c r="A140" s="6" t="s">
        <v>495</v>
      </c>
      <c r="B140" s="6" t="s">
        <v>496</v>
      </c>
      <c r="C140" s="6" t="s">
        <v>14</v>
      </c>
      <c r="D140" s="6" t="s">
        <v>15</v>
      </c>
      <c r="E140" s="6" t="s">
        <v>9</v>
      </c>
      <c r="F140" s="6"/>
      <c r="G140" s="6" t="s">
        <v>428</v>
      </c>
      <c r="H140" s="7" t="s">
        <v>497</v>
      </c>
      <c r="I140" s="6" t="s">
        <v>805</v>
      </c>
      <c r="J140" s="6" t="s">
        <v>975</v>
      </c>
      <c r="K140" s="6" t="s">
        <v>806</v>
      </c>
      <c r="L140" s="9" t="str">
        <f t="shared" si="12"/>
        <v>https://opencell.czbiohub.org/target/69</v>
      </c>
      <c r="M140" s="9" t="str">
        <f t="shared" si="13"/>
        <v>https://v20.proteinatlas.org/ENSG00000170248/cell</v>
      </c>
      <c r="N140" s="9" t="str">
        <f t="shared" si="14"/>
        <v>https://www.uniprot.org/uniprot/Q8WUM4</v>
      </c>
    </row>
    <row r="141" spans="1:14" x14ac:dyDescent="0.2">
      <c r="A141" s="6" t="s">
        <v>498</v>
      </c>
      <c r="B141" s="6" t="s">
        <v>499</v>
      </c>
      <c r="C141" s="6" t="s">
        <v>14</v>
      </c>
      <c r="D141" s="6"/>
      <c r="E141" s="6" t="s">
        <v>16</v>
      </c>
      <c r="F141" s="6" t="s">
        <v>500</v>
      </c>
      <c r="G141" s="6" t="s">
        <v>428</v>
      </c>
      <c r="H141" s="7" t="s">
        <v>501</v>
      </c>
      <c r="I141" s="6" t="s">
        <v>807</v>
      </c>
      <c r="J141" s="6" t="s">
        <v>976</v>
      </c>
      <c r="K141" s="6" t="s">
        <v>808</v>
      </c>
      <c r="L141" s="9" t="str">
        <f t="shared" si="12"/>
        <v>https://opencell.czbiohub.org/target/1239</v>
      </c>
      <c r="M141" s="9" t="str">
        <f t="shared" si="13"/>
        <v>https://v20.proteinatlas.org/ENSG00000123143/cell</v>
      </c>
      <c r="N141" s="9" t="str">
        <f t="shared" si="14"/>
        <v>https://www.uniprot.org/uniprot/Q16512</v>
      </c>
    </row>
    <row r="142" spans="1:14" x14ac:dyDescent="0.2">
      <c r="A142" s="6" t="s">
        <v>502</v>
      </c>
      <c r="B142" s="6" t="s">
        <v>503</v>
      </c>
      <c r="C142" s="6" t="s">
        <v>8</v>
      </c>
      <c r="D142" s="6"/>
      <c r="E142" s="6" t="s">
        <v>16</v>
      </c>
      <c r="F142" s="6"/>
      <c r="G142" s="6" t="s">
        <v>428</v>
      </c>
      <c r="H142" s="7" t="s">
        <v>504</v>
      </c>
      <c r="I142" s="6" t="s">
        <v>809</v>
      </c>
      <c r="J142" s="6" t="s">
        <v>977</v>
      </c>
      <c r="K142" s="6" t="s">
        <v>810</v>
      </c>
      <c r="L142" s="9" t="str">
        <f t="shared" si="12"/>
        <v>https://opencell.czbiohub.org/target/446</v>
      </c>
      <c r="M142" s="9" t="str">
        <f t="shared" si="13"/>
        <v>https://v20.proteinatlas.org/ENSG00000136933/cell</v>
      </c>
      <c r="N142" s="9" t="str">
        <f t="shared" si="14"/>
        <v>https://www.uniprot.org/uniprot/Q7Z6M1</v>
      </c>
    </row>
    <row r="143" spans="1:14" x14ac:dyDescent="0.2">
      <c r="A143" s="6" t="s">
        <v>505</v>
      </c>
      <c r="B143" s="6" t="s">
        <v>506</v>
      </c>
      <c r="C143" s="6" t="s">
        <v>8</v>
      </c>
      <c r="D143" s="6"/>
      <c r="E143" s="6" t="s">
        <v>9</v>
      </c>
      <c r="F143" s="6"/>
      <c r="G143" s="6" t="s">
        <v>428</v>
      </c>
      <c r="H143" s="7" t="s">
        <v>507</v>
      </c>
      <c r="I143" s="6" t="s">
        <v>811</v>
      </c>
      <c r="J143" s="6" t="s">
        <v>978</v>
      </c>
      <c r="K143" s="6" t="s">
        <v>812</v>
      </c>
      <c r="L143" s="9" t="str">
        <f t="shared" si="12"/>
        <v>https://opencell.czbiohub.org/target/450</v>
      </c>
      <c r="M143" s="9" t="str">
        <f t="shared" si="13"/>
        <v>https://v20.proteinatlas.org/ENSG00000137955/cell</v>
      </c>
      <c r="N143" s="9" t="str">
        <f t="shared" si="14"/>
        <v>https://www.uniprot.org/uniprot/P53611</v>
      </c>
    </row>
    <row r="144" spans="1:14" x14ac:dyDescent="0.2">
      <c r="A144" s="6" t="s">
        <v>508</v>
      </c>
      <c r="B144" s="6" t="s">
        <v>509</v>
      </c>
      <c r="C144" s="6" t="s">
        <v>8</v>
      </c>
      <c r="D144" s="6"/>
      <c r="E144" s="6" t="s">
        <v>510</v>
      </c>
      <c r="F144" s="6"/>
      <c r="G144" s="6" t="s">
        <v>428</v>
      </c>
      <c r="H144" s="7" t="s">
        <v>427</v>
      </c>
      <c r="I144" s="6" t="s">
        <v>813</v>
      </c>
      <c r="J144" s="6" t="s">
        <v>979</v>
      </c>
      <c r="K144" s="6" t="s">
        <v>814</v>
      </c>
      <c r="L144" s="9" t="str">
        <f t="shared" si="12"/>
        <v>https://opencell.czbiohub.org/target/451</v>
      </c>
      <c r="M144" s="9" t="str">
        <f t="shared" si="13"/>
        <v>https://v20.proteinatlas.org/ENSG00000183155/cell</v>
      </c>
      <c r="N144" s="9" t="str">
        <f t="shared" si="14"/>
        <v>https://www.uniprot.org/uniprot/P47224</v>
      </c>
    </row>
    <row r="145" spans="1:14" x14ac:dyDescent="0.2">
      <c r="A145" s="6" t="s">
        <v>511</v>
      </c>
      <c r="B145" s="6" t="s">
        <v>512</v>
      </c>
      <c r="C145" s="6" t="s">
        <v>14</v>
      </c>
      <c r="D145" s="6"/>
      <c r="E145" s="6" t="s">
        <v>238</v>
      </c>
      <c r="F145" s="6"/>
      <c r="G145" s="6" t="s">
        <v>428</v>
      </c>
      <c r="H145" s="7" t="s">
        <v>459</v>
      </c>
      <c r="I145" s="6" t="s">
        <v>815</v>
      </c>
      <c r="J145" s="6" t="s">
        <v>980</v>
      </c>
      <c r="K145" s="6" t="s">
        <v>816</v>
      </c>
      <c r="L145" s="9" t="str">
        <f t="shared" si="12"/>
        <v>https://opencell.czbiohub.org/target/1255</v>
      </c>
      <c r="M145" s="9" t="str">
        <f t="shared" si="13"/>
        <v>https://v20.proteinatlas.org/ENSG00000132155/cell</v>
      </c>
      <c r="N145" s="9" t="str">
        <f t="shared" si="14"/>
        <v>https://www.uniprot.org/uniprot/P04049</v>
      </c>
    </row>
    <row r="146" spans="1:14" x14ac:dyDescent="0.2">
      <c r="A146" s="6" t="s">
        <v>513</v>
      </c>
      <c r="B146" s="6" t="s">
        <v>514</v>
      </c>
      <c r="C146" s="6" t="s">
        <v>385</v>
      </c>
      <c r="D146" s="6" t="s">
        <v>21</v>
      </c>
      <c r="E146" s="6" t="s">
        <v>59</v>
      </c>
      <c r="F146" s="6"/>
      <c r="G146" s="6" t="s">
        <v>428</v>
      </c>
      <c r="H146" s="7" t="s">
        <v>515</v>
      </c>
      <c r="I146" s="6" t="s">
        <v>817</v>
      </c>
      <c r="J146" s="6" t="s">
        <v>981</v>
      </c>
      <c r="K146" s="6" t="s">
        <v>818</v>
      </c>
      <c r="L146" s="9" t="str">
        <f t="shared" si="12"/>
        <v>https://opencell.czbiohub.org/target/282</v>
      </c>
      <c r="M146" s="9" t="str">
        <f t="shared" si="13"/>
        <v>https://v20.proteinatlas.org/ENSG00000129657/cell</v>
      </c>
      <c r="N146" s="9" t="str">
        <f t="shared" si="14"/>
        <v>https://www.uniprot.org/uniprot/Q92503</v>
      </c>
    </row>
    <row r="147" spans="1:14" x14ac:dyDescent="0.2">
      <c r="A147" s="6" t="s">
        <v>516</v>
      </c>
      <c r="B147" s="6" t="s">
        <v>517</v>
      </c>
      <c r="C147" s="6" t="s">
        <v>518</v>
      </c>
      <c r="D147" s="6"/>
      <c r="E147" s="6" t="s">
        <v>64</v>
      </c>
      <c r="F147" s="6"/>
      <c r="G147" s="6" t="s">
        <v>428</v>
      </c>
      <c r="H147" s="7" t="s">
        <v>519</v>
      </c>
      <c r="I147" s="6" t="s">
        <v>819</v>
      </c>
      <c r="J147" s="6" t="s">
        <v>982</v>
      </c>
      <c r="K147" s="6" t="s">
        <v>820</v>
      </c>
      <c r="L147" s="9" t="str">
        <f t="shared" si="12"/>
        <v>https://opencell.czbiohub.org/target/1575</v>
      </c>
      <c r="M147" s="9" t="str">
        <f t="shared" si="13"/>
        <v>https://v20.proteinatlas.org/ENSG00000169371/cell</v>
      </c>
      <c r="N147" s="9" t="str">
        <f t="shared" si="14"/>
        <v>https://www.uniprot.org/uniprot/O95149</v>
      </c>
    </row>
    <row r="148" spans="1:14" x14ac:dyDescent="0.2">
      <c r="A148" s="6" t="s">
        <v>520</v>
      </c>
      <c r="B148" s="6" t="s">
        <v>521</v>
      </c>
      <c r="C148" s="6" t="s">
        <v>522</v>
      </c>
      <c r="D148" s="6"/>
      <c r="E148" s="6" t="s">
        <v>41</v>
      </c>
      <c r="F148" s="6" t="s">
        <v>22</v>
      </c>
      <c r="G148" s="6" t="s">
        <v>428</v>
      </c>
      <c r="H148" s="7" t="s">
        <v>523</v>
      </c>
      <c r="I148" s="6" t="s">
        <v>821</v>
      </c>
      <c r="J148" s="6" t="s">
        <v>983</v>
      </c>
      <c r="K148" s="6" t="s">
        <v>822</v>
      </c>
      <c r="L148" s="9" t="str">
        <f t="shared" si="12"/>
        <v>https://opencell.czbiohub.org/target/1275</v>
      </c>
      <c r="M148" s="9" t="str">
        <f t="shared" si="13"/>
        <v>https://v20.proteinatlas.org/ENSG00000118046/cell</v>
      </c>
      <c r="N148" s="9" t="str">
        <f t="shared" si="14"/>
        <v>https://www.uniprot.org/uniprot/Q15831</v>
      </c>
    </row>
  </sheetData>
  <autoFilter ref="A1:N1" xr:uid="{00000000-0001-0000-0100-000000000000}">
    <sortState xmlns:xlrd2="http://schemas.microsoft.com/office/spreadsheetml/2017/richdata2" ref="A2:N148">
      <sortCondition ref="G1:G14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Manuel Leonetti</cp:lastModifiedBy>
  <dcterms:created xsi:type="dcterms:W3CDTF">2021-10-06T19:47:28Z</dcterms:created>
  <dcterms:modified xsi:type="dcterms:W3CDTF">2021-10-07T07:12:47Z</dcterms:modified>
</cp:coreProperties>
</file>